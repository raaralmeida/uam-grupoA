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DOS" sheetId="1" r:id="rId4"/>
    <sheet state="visible" name="AD" sheetId="2" r:id="rId5"/>
    <sheet state="visible" name="DADOS" sheetId="3" r:id="rId6"/>
    <sheet state="visible" name="CORRELAÇÃO" sheetId="4" r:id="rId7"/>
    <sheet state="visible" name="MODELO 1" sheetId="5" r:id="rId8"/>
    <sheet state="visible" name="MODELO 2" sheetId="6" r:id="rId9"/>
    <sheet state="visible" name="MODELO 3" sheetId="7" r:id="rId10"/>
    <sheet state="visible" name="MODELO 4" sheetId="8" r:id="rId11"/>
    <sheet state="visible" name="MODELO 5" sheetId="9" r:id="rId12"/>
  </sheets>
  <definedNames/>
  <calcPr/>
</workbook>
</file>

<file path=xl/sharedStrings.xml><?xml version="1.0" encoding="utf-8"?>
<sst xmlns="http://schemas.openxmlformats.org/spreadsheetml/2006/main" count="351" uniqueCount="98">
  <si>
    <t>ANO</t>
  </si>
  <si>
    <t>Valor do ano</t>
  </si>
  <si>
    <t>MES</t>
  </si>
  <si>
    <t>Valor do mês</t>
  </si>
  <si>
    <t>HEL</t>
  </si>
  <si>
    <t>movimento de helicópteros</t>
  </si>
  <si>
    <t>TATIC FLOW e BIMTRA (somente dados de SBBR)</t>
  </si>
  <si>
    <t>RPC</t>
  </si>
  <si>
    <t>Renda Per Capita</t>
  </si>
  <si>
    <t>https://anuario.ipe.df.gov.br/home</t>
  </si>
  <si>
    <t>POP</t>
  </si>
  <si>
    <t>População</t>
  </si>
  <si>
    <t>FROTA</t>
  </si>
  <si>
    <t>Frota</t>
  </si>
  <si>
    <t>https://app.powerbi.com/view?r=eyJrIjoiMGQ2MjdiMWYtNzQxZS00Mzk2LWE0NmEtMzFiMTNmNzI1OTk3IiwidCI6ImI1NzQ4ZjZlLWI0YTQtNGIyYi1hYjJhLWVmOTUyMjM2ODM2NiIsImMiOjR9</t>
  </si>
  <si>
    <t>HELIPT</t>
  </si>
  <si>
    <t>Helipontos</t>
  </si>
  <si>
    <t>https://www.gov.br/anac/pt-br/assuntos/regulados/aeroportos-e-aerodromos/lista-de-aerodromos-civis-cadastrados</t>
  </si>
  <si>
    <t>QAV</t>
  </si>
  <si>
    <t>Preço do QAV</t>
  </si>
  <si>
    <t>https://www.gov.br/anp/pt-br/assuntos/precos-e-defesa-da-concorrencia/precos/precos-de-produtores-e-importadores-de-derivados-de-petroleo-e-biodiesel</t>
  </si>
  <si>
    <t>QAVREF</t>
  </si>
  <si>
    <t>Preço do QAV corrigido pelo IPCA para o mês de ref (mar/26)</t>
  </si>
  <si>
    <t>PAND</t>
  </si>
  <si>
    <t>Dummy Pandemia</t>
  </si>
  <si>
    <t>A partir de mar/20 = 1</t>
  </si>
  <si>
    <t>COD ICAO</t>
  </si>
  <si>
    <t>MUNICIPIO</t>
  </si>
  <si>
    <t>UF</t>
  </si>
  <si>
    <t>TIPO</t>
  </si>
  <si>
    <t>SBBR</t>
  </si>
  <si>
    <t>BRASÍLIA</t>
  </si>
  <si>
    <t>DF</t>
  </si>
  <si>
    <t>AD PUB</t>
  </si>
  <si>
    <t>SJXU</t>
  </si>
  <si>
    <t>AD PRIV</t>
  </si>
  <si>
    <t>SINA</t>
  </si>
  <si>
    <t>SSWB</t>
  </si>
  <si>
    <t>SDCB</t>
  </si>
  <si>
    <t>SSGP</t>
  </si>
  <si>
    <t>SWXU</t>
  </si>
  <si>
    <t>SIQE</t>
  </si>
  <si>
    <t>SWDF</t>
  </si>
  <si>
    <t>SDHH</t>
  </si>
  <si>
    <t>SDZA</t>
  </si>
  <si>
    <t>SICA</t>
  </si>
  <si>
    <t>SWSW</t>
  </si>
  <si>
    <t>SDFG</t>
  </si>
  <si>
    <t>SIIY</t>
  </si>
  <si>
    <t>SNAW</t>
  </si>
  <si>
    <t>SNCN</t>
  </si>
  <si>
    <t>SSOH</t>
  </si>
  <si>
    <t>SN2B</t>
  </si>
  <si>
    <t>SI4J</t>
  </si>
  <si>
    <t>DATA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</si>
  <si>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</si>
  <si>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</si>
  <si>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</si>
  <si>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</si>
  <si>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</si>
  <si>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</si>
  <si>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</si>
  <si>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</si>
  <si>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</si>
  <si>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</si>
  <si>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</si>
  <si>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</si>
  <si>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</si>
  <si>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</si>
  <si>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</si>
  <si>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</si>
  <si>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</si>
  <si>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</si>
  <si>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</si>
  <si>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</si>
  <si>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</si>
  <si>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</si>
  <si>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</si>
  <si>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</si>
  <si>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RESIDUAL OUTPUT</t>
  </si>
  <si>
    <t>PROBABILITY OUTPUT</t>
  </si>
  <si>
    <t>Observation</t>
  </si>
  <si>
    <t>Predicted HEL</t>
  </si>
  <si>
    <t>Residuals</t>
  </si>
  <si>
    <t>Standard Residuals</t>
  </si>
  <si>
    <t>Percentile</t>
  </si>
  <si>
    <t>DM1</t>
  </si>
  <si>
    <t>DM2</t>
  </si>
  <si>
    <t>DM3</t>
  </si>
  <si>
    <t>DM4</t>
  </si>
  <si>
    <t>DM5</t>
  </si>
  <si>
    <t>DM6</t>
  </si>
  <si>
    <t>DM7</t>
  </si>
  <si>
    <t>DM8</t>
  </si>
  <si>
    <t>DM9</t>
  </si>
  <si>
    <t>DM10</t>
  </si>
  <si>
    <t>DM11</t>
  </si>
  <si>
    <t>DM12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</si>
</sst>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/>
      <name val="Arial"/>
    </font>
    <font>
      <sz val="10.0"/>
      <color rgb="FF1F1F1F"/>
      <name val="Arial"/>
    </font>
    <font>
      <u/>
      <sz val="10.0"/>
      <color rgb="FF0000FF"/>
      <name val="Arial"/>
    </font>
    <font>
      <sz val="11.0"/>
      <color/>
      <name val="&quot;Aptos Narrow&quot;"/>
    </font>
    <font>
      <sz val="11.0"/>
      <color rgb="FF000000"/>
      <name val="&quot;Aptos Narrow&quot;"/>
    </font>
    <font/>
    <font>
      <i/>
      <sz val="10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vertical="center"/>
    </xf>
    <xf borderId="0" fillId="0" fontId="6" numFmtId="0" xfId="0" applyFont="1"/>
    <xf borderId="1" fillId="0" fontId="7" numFmtId="0" xfId="0" applyAlignment="1" applyBorder="1" applyFont="1">
      <alignment horizontal="center"/>
    </xf>
    <xf borderId="2" fillId="0" fontId="8" numFmtId="0" xfId="0" applyBorder="1" applyFont="1"/>
    <xf borderId="1" fillId="0" fontId="6" numFmtId="0" xfId="0" applyBorder="1" applyFont="1"/>
    <xf borderId="3" fillId="2" fontId="8" numFmtId="0" xfId="0" applyBorder="1" applyFill="1" applyFont="1"/>
    <xf borderId="4" fillId="2" fontId="8" numFmtId="0" xfId="0" applyBorder="1" applyFont="1"/>
    <xf borderId="3" fillId="3" fontId="8" numFmtId="0" xfId="0" applyBorder="1" applyFill="1" applyFont="1"/>
    <xf borderId="4" fillId="3" fontId="8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3" pivot="0" name="AD-style">
      <tableStyleElement dxfId="1" type="headerRow"/>
      <tableStyleElement dxfId="2" type="firstRowStripe"/>
      <tableStyleElement dxfId="3" type="secondRowStripe"/>
    </tableStyle>
    <tableStyle count="3" pivot="0" name="DADOS-style">
      <tableStyleElement dxfId="1" type="headerRow"/>
      <tableStyleElement dxfId="2" type="firstRowStripe"/>
      <tableStyleElement dxfId="3" type="secondRowStripe"/>
    </tableStyle>
    <tableStyle count="3" pivot="0" name="MODELO 1-style">
      <tableStyleElement dxfId="1" type="headerRow"/>
      <tableStyleElement dxfId="2" type="firstRowStripe"/>
      <tableStyleElement dxfId="3" type="secondRowStripe"/>
    </tableStyle>
    <tableStyle count="3" pivot="0" name="MODELO 2-style">
      <tableStyleElement dxfId="1" type="headerRow"/>
      <tableStyleElement dxfId="2" type="firstRowStripe"/>
      <tableStyleElement dxfId="3" type="secondRowStripe"/>
    </tableStyle>
    <tableStyle count="3" pivot="0" name="MODELO 3-style">
      <tableStyleElement dxfId="1" type="headerRow"/>
      <tableStyleElement dxfId="2" type="firstRowStripe"/>
      <tableStyleElement dxfId="3" type="secondRowStripe"/>
    </tableStyle>
    <tableStyle count="3" pivot="0" name="MODELO 4-style">
      <tableStyleElement dxfId="1" type="headerRow"/>
      <tableStyleElement dxfId="2" type="firstRowStripe"/>
      <tableStyleElement dxfId="3" type="secondRowStripe"/>
    </tableStyle>
    <tableStyle count="3" pivot="0" name="MODELO 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HEL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yVal>
            <c:numRef>
              <c:f>DADOS!$D$2:$D$88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597471"/>
        <c:axId val="1319955937"/>
      </c:scatterChart>
      <c:valAx>
        <c:axId val="585597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9955937"/>
      </c:valAx>
      <c:valAx>
        <c:axId val="1319955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559747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DATA Line Fit  Plot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HEL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'MODELO 1'!$C$2:$C$88</c:f>
            </c:numRef>
          </c:xVal>
          <c:yVal>
            <c:numRef>
              <c:f>'MODELO 1'!$D$2:$D$88</c:f>
              <c:numCache/>
            </c:numRef>
          </c:yVal>
        </c:ser>
        <c:ser>
          <c:idx val="1"/>
          <c:order val="1"/>
          <c:tx>
            <c:v>Predicted HEL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xVal>
            <c:numRef>
              <c:f>'MODELO 1'!$C$2:$C$88</c:f>
            </c:numRef>
          </c:xVal>
          <c:yVal>
            <c:numRef>
              <c:f>'MODELO 1'!$G$26:$G$112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27977"/>
        <c:axId val="1787182484"/>
      </c:scatterChart>
      <c:valAx>
        <c:axId val="732427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182484"/>
      </c:valAx>
      <c:valAx>
        <c:axId val="17871824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HEL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427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342900</xdr:colOff>
      <xdr:row>1</xdr:row>
      <xdr:rowOff>238125</xdr:rowOff>
    </xdr:from>
    <xdr:ext cx="4572000" cy="2743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161925</xdr:colOff>
      <xdr:row>1</xdr:row>
      <xdr:rowOff>28575</xdr:rowOff>
    </xdr:from>
    <xdr:ext cx="7400925" cy="3552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1" displayName="Table_1" name="Table_1" id="1">
  <tableColumns count="4">
    <tableColumn name="COD ICAO" id="1"/>
    <tableColumn name="MUNICIPIO" id="2"/>
    <tableColumn name="UF" id="3"/>
    <tableColumn name="TIPO" id="4"/>
  </tableColumns>
  <tableStyleInfo name="AD-style" showColumnStripes="0" showFirstColumn="1" showLastColumn="1" showRowStripes="1"/>
</table>
</file>

<file path=xl/tables/table2.xml><?xml version="1.0" encoding="utf-8"?>
<table xmlns="http://schemas.openxmlformats.org/spreadsheetml/2006/main" ref="A1:K88" displayName="Table_2" name="Table_2" id="2">
  <tableColumns count="11">
    <tableColumn name="ANO" id="1"/>
    <tableColumn name="MES" id="2"/>
    <tableColumn name="DATA" id="3"/>
    <tableColumn name="HEL" id="4"/>
    <tableColumn name="RPC" id="5"/>
    <tableColumn name="POP" id="6"/>
    <tableColumn name="FROTA" id="7"/>
    <tableColumn name="HELIPT" id="8"/>
    <tableColumn name="QAV" id="9"/>
    <tableColumn name="QAVREF" id="10"/>
    <tableColumn name="PAND" id="11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ref="A1:D88" displayName="Table_3" name="Table_3" id="3">
  <tableColumns count="4">
    <tableColumn name="ANO" id="1"/>
    <tableColumn name="MES" id="2"/>
    <tableColumn name="DATA" id="3"/>
    <tableColumn name="HEL" id="4"/>
  </tableColumns>
  <tableStyleInfo name="MODELO 1-style" showColumnStripes="0" showFirstColumn="1" showLastColumn="1" showRowStripes="1"/>
</table>
</file>

<file path=xl/tables/table4.xml><?xml version="1.0" encoding="utf-8"?>
<table xmlns="http://schemas.openxmlformats.org/spreadsheetml/2006/main" ref="A1:P88" displayName="Table_4" name="Table_4" id="4">
  <tableColumns count="16">
    <tableColumn name="ANO" id="1"/>
    <tableColumn name="MES" id="2"/>
    <tableColumn name="DATA" id="3"/>
    <tableColumn name="HEL" id="4"/>
    <tableColumn name="DM1" id="5"/>
    <tableColumn name="DM2" id="6"/>
    <tableColumn name="DM3" id="7"/>
    <tableColumn name="DM4" id="8"/>
    <tableColumn name="DM5" id="9"/>
    <tableColumn name="DM6" id="10"/>
    <tableColumn name="DM7" id="11"/>
    <tableColumn name="DM8" id="12"/>
    <tableColumn name="DM9" id="13"/>
    <tableColumn name="DM10" id="14"/>
    <tableColumn name="DM11" id="15"/>
    <tableColumn name="DM12" id="16"/>
  </tableColumns>
  <tableStyleInfo name="MODELO 2-style" showColumnStripes="0" showFirstColumn="1" showLastColumn="1" showRowStripes="1"/>
</table>
</file>

<file path=xl/tables/table5.xml><?xml version="1.0" encoding="utf-8"?>
<table xmlns="http://schemas.openxmlformats.org/spreadsheetml/2006/main" ref="A1:E73" displayName="Table_5" name="Table_5" id="5">
  <tableColumns count="5">
    <tableColumn name="ANO" id="1"/>
    <tableColumn name="MES" id="2"/>
    <tableColumn name="DATA" id="3"/>
    <tableColumn name="HEL" id="4"/>
    <tableColumn name="POP" id="5"/>
  </tableColumns>
  <tableStyleInfo name="MODELO 3-style" showColumnStripes="0" showFirstColumn="1" showLastColumn="1" showRowStripes="1"/>
</table>
</file>

<file path=xl/tables/table6.xml><?xml version="1.0" encoding="utf-8"?>
<table xmlns="http://schemas.openxmlformats.org/spreadsheetml/2006/main" ref="A1:F88" displayName="Table_6" name="Table_6" id="6">
  <tableColumns count="6">
    <tableColumn name="ANO" id="1"/>
    <tableColumn name="MES" id="2"/>
    <tableColumn name="DATA" id="3"/>
    <tableColumn name="HEL" id="4"/>
    <tableColumn name="HELIPT" id="5"/>
    <tableColumn name="PAND" id="6"/>
  </tableColumns>
  <tableStyleInfo name="MODELO 4-style" showColumnStripes="0" showFirstColumn="1" showLastColumn="1" showRowStripes="1"/>
</table>
</file>

<file path=xl/tables/table7.xml><?xml version="1.0" encoding="utf-8"?>
<table xmlns="http://schemas.openxmlformats.org/spreadsheetml/2006/main" ref="A1:F36" displayName="Table_7" name="Table_7" id="7">
  <tableColumns count="6">
    <tableColumn name="ANO" id="1"/>
    <tableColumn name="MES" id="2"/>
    <tableColumn name="DATA" id="3"/>
    <tableColumn name="HEL" id="4"/>
    <tableColumn name="HELIPT" id="5"/>
    <tableColumn name="QAVREF" id="6"/>
  </tableColumns>
  <tableStyleInfo name="MODELO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nuario.ipe.df.gov.br/home" TargetMode="External"/><Relationship Id="rId2" Type="http://schemas.openxmlformats.org/officeDocument/2006/relationships/hyperlink" Target="https://anuario.ipe.df.gov.br/home" TargetMode="External"/><Relationship Id="rId3" Type="http://schemas.openxmlformats.org/officeDocument/2006/relationships/hyperlink" Target="https://app.powerbi.com/view?r=eyJrIjoiMGQ2MjdiMWYtNzQxZS00Mzk2LWE0NmEtMzFiMTNmNzI1OTk3IiwidCI6ImI1NzQ4ZjZlLWI0YTQtNGIyYi1hYjJhLWVmOTUyMjM2ODM2NiIsImMiOjR9" TargetMode="External"/><Relationship Id="rId4" Type="http://schemas.openxmlformats.org/officeDocument/2006/relationships/hyperlink" Target="https://www.gov.br/anac/pt-br/assuntos/regulados/aeroportos-e-aerodromos/lista-de-aerodromos-civis-cadastrados" TargetMode="External"/><Relationship Id="rId5" Type="http://schemas.openxmlformats.org/officeDocument/2006/relationships/hyperlink" Target="https://www.gov.br/anp/pt-br/assuntos/precos-e-defesa-da-concorrencia/precos/precos-de-produtores-e-importadores-de-derivados-de-petroleo-e-biodiesel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5.71"/>
    <col customWidth="1" min="3" max="11" width="12.57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  <c r="C3" s="1" t="s">
        <v>6</v>
      </c>
    </row>
    <row r="4" ht="15.75" customHeight="1">
      <c r="A4" s="1" t="s">
        <v>7</v>
      </c>
      <c r="B4" s="2" t="s">
        <v>8</v>
      </c>
      <c r="C4" s="3" t="s">
        <v>9</v>
      </c>
    </row>
    <row r="5" ht="15.75" customHeight="1">
      <c r="A5" s="1" t="s">
        <v>10</v>
      </c>
      <c r="B5" s="1" t="s">
        <v>11</v>
      </c>
      <c r="C5" s="3" t="s">
        <v>9</v>
      </c>
    </row>
    <row r="6" ht="15.75" customHeight="1">
      <c r="A6" s="1" t="s">
        <v>12</v>
      </c>
      <c r="B6" s="1" t="s">
        <v>13</v>
      </c>
      <c r="C6" s="3" t="s">
        <v>14</v>
      </c>
    </row>
    <row r="7" ht="15.75" customHeight="1">
      <c r="A7" s="1" t="s">
        <v>15</v>
      </c>
      <c r="B7" s="1" t="s">
        <v>16</v>
      </c>
      <c r="C7" s="3" t="s">
        <v>17</v>
      </c>
    </row>
    <row r="8" ht="15.75" customHeight="1">
      <c r="A8" s="1" t="s">
        <v>18</v>
      </c>
      <c r="B8" s="1" t="s">
        <v>19</v>
      </c>
      <c r="C8" s="3" t="s">
        <v>20</v>
      </c>
    </row>
    <row r="9" ht="15.75" customHeight="1">
      <c r="A9" s="1" t="s">
        <v>21</v>
      </c>
      <c r="B9" s="1" t="s">
        <v>22</v>
      </c>
      <c r="C9" s="3"/>
    </row>
    <row r="10" ht="15.75" customHeight="1">
      <c r="A10" s="1" t="s">
        <v>23</v>
      </c>
      <c r="B10" s="1" t="s">
        <v>24</v>
      </c>
      <c r="C10" s="1" t="s">
        <v>25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C4"/>
    <hyperlink r:id="rId2" ref="C5"/>
    <hyperlink r:id="rId3" ref="C6"/>
    <hyperlink r:id="rId4" ref="C7"/>
    <hyperlink r:id="rId5" ref="C8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5.14"/>
    <col customWidth="1" min="3" max="3" width="12.57"/>
    <col customWidth="1" min="4" max="4" width="13.43"/>
    <col customWidth="1" min="5" max="11" width="12.57"/>
  </cols>
  <sheetData>
    <row r="1" ht="22.5" customHeight="1">
      <c r="A1" s="4" t="s">
        <v>26</v>
      </c>
      <c r="B1" s="4" t="s">
        <v>27</v>
      </c>
      <c r="C1" s="4" t="s">
        <v>28</v>
      </c>
      <c r="D1" s="4" t="s">
        <v>29</v>
      </c>
    </row>
    <row r="2" ht="22.5" customHeight="1">
      <c r="A2" s="5" t="s">
        <v>30</v>
      </c>
      <c r="B2" s="5" t="s">
        <v>31</v>
      </c>
      <c r="C2" s="5" t="s">
        <v>32</v>
      </c>
      <c r="D2" s="5" t="s">
        <v>33</v>
      </c>
    </row>
    <row r="3" ht="22.5" customHeight="1">
      <c r="A3" s="5" t="s">
        <v>34</v>
      </c>
      <c r="B3" s="5" t="s">
        <v>31</v>
      </c>
      <c r="C3" s="5" t="s">
        <v>32</v>
      </c>
      <c r="D3" s="5" t="s">
        <v>35</v>
      </c>
    </row>
    <row r="4" ht="22.5" customHeight="1">
      <c r="A4" s="5" t="s">
        <v>36</v>
      </c>
      <c r="B4" s="5" t="s">
        <v>31</v>
      </c>
      <c r="C4" s="5" t="s">
        <v>32</v>
      </c>
      <c r="D4" s="5" t="s">
        <v>35</v>
      </c>
    </row>
    <row r="5" ht="22.5" customHeight="1">
      <c r="A5" s="5" t="s">
        <v>37</v>
      </c>
      <c r="B5" s="5" t="s">
        <v>31</v>
      </c>
      <c r="C5" s="5" t="s">
        <v>32</v>
      </c>
      <c r="D5" s="5" t="s">
        <v>35</v>
      </c>
    </row>
    <row r="6" ht="22.5" customHeight="1">
      <c r="A6" s="5" t="s">
        <v>38</v>
      </c>
      <c r="B6" s="5" t="s">
        <v>31</v>
      </c>
      <c r="C6" s="5" t="s">
        <v>32</v>
      </c>
      <c r="D6" s="5" t="s">
        <v>35</v>
      </c>
    </row>
    <row r="7" ht="22.5" customHeight="1">
      <c r="A7" s="5" t="s">
        <v>39</v>
      </c>
      <c r="B7" s="5" t="s">
        <v>31</v>
      </c>
      <c r="C7" s="5" t="s">
        <v>32</v>
      </c>
      <c r="D7" s="5" t="s">
        <v>35</v>
      </c>
    </row>
    <row r="8" ht="22.5" customHeight="1">
      <c r="A8" s="5" t="s">
        <v>40</v>
      </c>
      <c r="B8" s="5" t="s">
        <v>31</v>
      </c>
      <c r="C8" s="5" t="s">
        <v>32</v>
      </c>
      <c r="D8" s="5" t="s">
        <v>35</v>
      </c>
    </row>
    <row r="9" ht="22.5" customHeight="1">
      <c r="A9" s="5" t="s">
        <v>41</v>
      </c>
      <c r="B9" s="5" t="s">
        <v>31</v>
      </c>
      <c r="C9" s="5" t="s">
        <v>32</v>
      </c>
      <c r="D9" s="5" t="s">
        <v>35</v>
      </c>
    </row>
    <row r="10" ht="22.5" customHeight="1">
      <c r="A10" s="5" t="s">
        <v>42</v>
      </c>
      <c r="B10" s="5" t="s">
        <v>31</v>
      </c>
      <c r="C10" s="5" t="s">
        <v>32</v>
      </c>
      <c r="D10" s="5" t="s">
        <v>15</v>
      </c>
    </row>
    <row r="11" ht="22.5" customHeight="1">
      <c r="A11" s="5" t="s">
        <v>43</v>
      </c>
      <c r="B11" s="5" t="s">
        <v>31</v>
      </c>
      <c r="C11" s="5" t="s">
        <v>32</v>
      </c>
      <c r="D11" s="5" t="s">
        <v>15</v>
      </c>
    </row>
    <row r="12" ht="22.5" customHeight="1">
      <c r="A12" s="5" t="s">
        <v>44</v>
      </c>
      <c r="B12" s="5" t="s">
        <v>31</v>
      </c>
      <c r="C12" s="5" t="s">
        <v>32</v>
      </c>
      <c r="D12" s="5" t="s">
        <v>15</v>
      </c>
    </row>
    <row r="13" ht="22.5" customHeight="1">
      <c r="A13" s="5" t="s">
        <v>45</v>
      </c>
      <c r="B13" s="5" t="s">
        <v>31</v>
      </c>
      <c r="C13" s="5" t="s">
        <v>32</v>
      </c>
      <c r="D13" s="5" t="s">
        <v>15</v>
      </c>
    </row>
    <row r="14" ht="22.5" customHeight="1">
      <c r="A14" s="5" t="s">
        <v>46</v>
      </c>
      <c r="B14" s="5" t="s">
        <v>31</v>
      </c>
      <c r="C14" s="5" t="s">
        <v>32</v>
      </c>
      <c r="D14" s="5" t="s">
        <v>15</v>
      </c>
    </row>
    <row r="15" ht="22.5" customHeight="1">
      <c r="A15" s="5" t="s">
        <v>47</v>
      </c>
      <c r="B15" s="5" t="s">
        <v>31</v>
      </c>
      <c r="C15" s="5" t="s">
        <v>32</v>
      </c>
      <c r="D15" s="5" t="s">
        <v>15</v>
      </c>
    </row>
    <row r="16" ht="22.5" customHeight="1">
      <c r="A16" s="5" t="s">
        <v>48</v>
      </c>
      <c r="B16" s="5" t="s">
        <v>31</v>
      </c>
      <c r="C16" s="5" t="s">
        <v>32</v>
      </c>
      <c r="D16" s="5" t="s">
        <v>15</v>
      </c>
    </row>
    <row r="17" ht="22.5" customHeight="1">
      <c r="A17" s="5" t="s">
        <v>49</v>
      </c>
      <c r="B17" s="5" t="s">
        <v>31</v>
      </c>
      <c r="C17" s="5" t="s">
        <v>32</v>
      </c>
      <c r="D17" s="5" t="s">
        <v>15</v>
      </c>
    </row>
    <row r="18" ht="22.5" customHeight="1">
      <c r="A18" s="5" t="s">
        <v>50</v>
      </c>
      <c r="B18" s="5" t="s">
        <v>31</v>
      </c>
      <c r="C18" s="5" t="s">
        <v>32</v>
      </c>
      <c r="D18" s="5" t="s">
        <v>15</v>
      </c>
    </row>
    <row r="19" ht="22.5" customHeight="1">
      <c r="A19" s="5" t="s">
        <v>51</v>
      </c>
      <c r="B19" s="5" t="s">
        <v>31</v>
      </c>
      <c r="C19" s="5" t="s">
        <v>32</v>
      </c>
      <c r="D19" s="5" t="s">
        <v>15</v>
      </c>
    </row>
    <row r="20" ht="22.5" customHeight="1">
      <c r="A20" s="5" t="s">
        <v>52</v>
      </c>
      <c r="B20" s="5" t="s">
        <v>31</v>
      </c>
      <c r="C20" s="5" t="s">
        <v>32</v>
      </c>
      <c r="D20" s="5" t="s">
        <v>15</v>
      </c>
    </row>
    <row r="21" ht="22.5" customHeight="1">
      <c r="A21" s="5" t="s">
        <v>53</v>
      </c>
      <c r="B21" s="5" t="s">
        <v>31</v>
      </c>
      <c r="C21" s="5" t="s">
        <v>32</v>
      </c>
      <c r="D21" s="5" t="s">
        <v>15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DropDown="1" showErrorMessage="1" sqref="D2:D21">
      <formula1>"AD PUB,AD PRIV,HELIPT"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14"/>
    <col customWidth="1" min="4" max="4" width="11.71"/>
    <col customWidth="1" min="5" max="5" width="8.57"/>
    <col customWidth="1" min="6" max="6" width="8.71"/>
    <col customWidth="1" min="7" max="7" width="10.57"/>
    <col customWidth="1" min="8" max="8" width="11.0"/>
    <col customWidth="1" min="9" max="10" width="8.71"/>
    <col customWidth="1" min="11" max="11" width="9.71"/>
    <col customWidth="1" min="12" max="18" width="12.57"/>
  </cols>
  <sheetData>
    <row r="1" ht="22.5" customHeight="1">
      <c r="A1" s="6" t="s">
        <v>0</v>
      </c>
      <c r="B1" s="6" t="s">
        <v>2</v>
      </c>
      <c r="C1" s="6" t="s">
        <v>54</v>
      </c>
      <c r="D1" s="6" t="s">
        <v>4</v>
      </c>
      <c r="E1" s="6" t="s">
        <v>7</v>
      </c>
      <c r="F1" s="6" t="s">
        <v>10</v>
      </c>
      <c r="G1" s="6" t="s">
        <v>12</v>
      </c>
      <c r="H1" s="6" t="s">
        <v>15</v>
      </c>
      <c r="I1" s="6" t="s">
        <v>18</v>
      </c>
      <c r="J1" s="6" t="s">
        <v>21</v>
      </c>
      <c r="K1" s="6" t="s">
        <v>23</v>
      </c>
    </row>
    <row r="2" ht="22.5" customHeight="1">
      <c r="A2" s="7">
        <v>2019.0</v>
      </c>
      <c r="B2" s="7">
        <v>1.0</v>
      </c>
      <c r="C2" s="8" t="str">
        <f>DATE(DADOS!$A2,DADOS!$B2,1)</f>
        <v>1/1/2019</v>
      </c>
      <c r="D2" s="7">
        <v>589.0</v>
      </c>
      <c r="E2" s="7">
        <v>2047.86</v>
      </c>
      <c r="F2" s="7">
        <v>3015000.0</v>
      </c>
      <c r="G2" s="9"/>
      <c r="H2" s="7">
        <v>6.0</v>
      </c>
      <c r="I2" s="9"/>
      <c r="J2" s="9"/>
      <c r="K2" s="7">
        <v>0.0</v>
      </c>
    </row>
    <row r="3" ht="22.5" customHeight="1">
      <c r="A3" s="7">
        <v>2019.0</v>
      </c>
      <c r="B3" s="7">
        <v>2.0</v>
      </c>
      <c r="C3" s="8" t="str">
        <f>DATE(DADOS!$A3,DADOS!$B3,1)</f>
        <v>2/1/2019</v>
      </c>
      <c r="D3" s="7">
        <v>601.0</v>
      </c>
      <c r="E3" s="7">
        <v>2047.86</v>
      </c>
      <c r="F3" s="7">
        <v>3015000.0</v>
      </c>
      <c r="G3" s="9"/>
      <c r="H3" s="7">
        <v>6.0</v>
      </c>
      <c r="I3" s="9"/>
      <c r="J3" s="9"/>
      <c r="K3" s="7">
        <v>0.0</v>
      </c>
    </row>
    <row r="4" ht="22.5" customHeight="1">
      <c r="A4" s="7">
        <v>2019.0</v>
      </c>
      <c r="B4" s="7">
        <v>3.0</v>
      </c>
      <c r="C4" s="8" t="str">
        <f>DATE(DADOS!$A4,DADOS!$B4,1)</f>
        <v>3/1/2019</v>
      </c>
      <c r="D4" s="7">
        <v>579.0</v>
      </c>
      <c r="E4" s="7">
        <v>2047.86</v>
      </c>
      <c r="F4" s="7">
        <v>3015000.0</v>
      </c>
      <c r="G4" s="9"/>
      <c r="H4" s="7">
        <v>6.0</v>
      </c>
      <c r="I4" s="9"/>
      <c r="J4" s="9"/>
      <c r="K4" s="7">
        <v>0.0</v>
      </c>
    </row>
    <row r="5" ht="22.5" customHeight="1">
      <c r="A5" s="7">
        <v>2019.0</v>
      </c>
      <c r="B5" s="7">
        <v>4.0</v>
      </c>
      <c r="C5" s="8" t="str">
        <f>DATE(DADOS!$A5,DADOS!$B5,1)</f>
        <v>4/1/2019</v>
      </c>
      <c r="D5" s="7">
        <v>614.0</v>
      </c>
      <c r="E5" s="7">
        <v>2047.86</v>
      </c>
      <c r="F5" s="7">
        <v>3015000.0</v>
      </c>
      <c r="G5" s="9"/>
      <c r="H5" s="7">
        <v>6.0</v>
      </c>
      <c r="I5" s="9"/>
      <c r="J5" s="9"/>
      <c r="K5" s="7">
        <v>0.0</v>
      </c>
    </row>
    <row r="6" ht="22.5" customHeight="1">
      <c r="A6" s="7">
        <v>2019.0</v>
      </c>
      <c r="B6" s="7">
        <v>5.0</v>
      </c>
      <c r="C6" s="8" t="str">
        <f>DATE(DADOS!$A6,DADOS!$B6,1)</f>
        <v>5/1/2019</v>
      </c>
      <c r="D6" s="7">
        <v>670.0</v>
      </c>
      <c r="E6" s="7">
        <v>2047.86</v>
      </c>
      <c r="F6" s="7">
        <v>3015000.0</v>
      </c>
      <c r="G6" s="9"/>
      <c r="H6" s="7">
        <v>6.0</v>
      </c>
      <c r="I6" s="9"/>
      <c r="J6" s="9"/>
      <c r="K6" s="7">
        <v>0.0</v>
      </c>
    </row>
    <row r="7" ht="22.5" customHeight="1">
      <c r="A7" s="7">
        <v>2019.0</v>
      </c>
      <c r="B7" s="7">
        <v>6.0</v>
      </c>
      <c r="C7" s="8" t="str">
        <f>DATE(DADOS!$A7,DADOS!$B7,1)</f>
        <v>6/1/2019</v>
      </c>
      <c r="D7" s="7">
        <v>636.0</v>
      </c>
      <c r="E7" s="7">
        <v>2047.86</v>
      </c>
      <c r="F7" s="7">
        <v>3015000.0</v>
      </c>
      <c r="G7" s="9"/>
      <c r="H7" s="7">
        <v>6.0</v>
      </c>
      <c r="I7" s="9"/>
      <c r="J7" s="9"/>
      <c r="K7" s="7">
        <v>0.0</v>
      </c>
    </row>
    <row r="8" ht="22.5" customHeight="1">
      <c r="A8" s="7">
        <v>2019.0</v>
      </c>
      <c r="B8" s="7">
        <v>7.0</v>
      </c>
      <c r="C8" s="8" t="str">
        <f>DATE(DADOS!$A8,DADOS!$B8,1)</f>
        <v>7/1/2019</v>
      </c>
      <c r="D8" s="7">
        <v>763.0</v>
      </c>
      <c r="E8" s="7">
        <v>2047.86</v>
      </c>
      <c r="F8" s="7">
        <v>3015000.0</v>
      </c>
      <c r="G8" s="9"/>
      <c r="H8" s="7">
        <v>6.0</v>
      </c>
      <c r="I8" s="9"/>
      <c r="J8" s="9"/>
      <c r="K8" s="7">
        <v>0.0</v>
      </c>
    </row>
    <row r="9" ht="22.5" customHeight="1">
      <c r="A9" s="7">
        <v>2019.0</v>
      </c>
      <c r="B9" s="7">
        <v>8.0</v>
      </c>
      <c r="C9" s="8" t="str">
        <f>DATE(DADOS!$A9,DADOS!$B9,1)</f>
        <v>8/1/2019</v>
      </c>
      <c r="D9" s="7">
        <v>805.0</v>
      </c>
      <c r="E9" s="7">
        <v>2047.86</v>
      </c>
      <c r="F9" s="7">
        <v>3015000.0</v>
      </c>
      <c r="G9" s="9"/>
      <c r="H9" s="7">
        <v>6.0</v>
      </c>
      <c r="I9" s="9"/>
      <c r="J9" s="9"/>
      <c r="K9" s="7">
        <v>0.0</v>
      </c>
    </row>
    <row r="10" ht="22.5" customHeight="1">
      <c r="A10" s="7">
        <v>2019.0</v>
      </c>
      <c r="B10" s="7">
        <v>9.0</v>
      </c>
      <c r="C10" s="8" t="str">
        <f>DATE(DADOS!$A10,DADOS!$B10,1)</f>
        <v>9/1/2019</v>
      </c>
      <c r="D10" s="7">
        <v>612.0</v>
      </c>
      <c r="E10" s="7">
        <v>2047.86</v>
      </c>
      <c r="F10" s="7">
        <v>3015000.0</v>
      </c>
      <c r="G10" s="9"/>
      <c r="H10" s="7">
        <v>6.0</v>
      </c>
      <c r="I10" s="9"/>
      <c r="J10" s="9"/>
      <c r="K10" s="7">
        <v>0.0</v>
      </c>
    </row>
    <row r="11" ht="22.5" customHeight="1">
      <c r="A11" s="7">
        <v>2019.0</v>
      </c>
      <c r="B11" s="7">
        <v>10.0</v>
      </c>
      <c r="C11" s="8" t="str">
        <f>DATE(DADOS!$A11,DADOS!$B11,1)</f>
        <v>10/1/2019</v>
      </c>
      <c r="D11" s="7">
        <v>679.0</v>
      </c>
      <c r="E11" s="7">
        <v>2047.86</v>
      </c>
      <c r="F11" s="7">
        <v>3015000.0</v>
      </c>
      <c r="G11" s="9"/>
      <c r="H11" s="7">
        <v>7.0</v>
      </c>
      <c r="I11" s="9"/>
      <c r="J11" s="9"/>
      <c r="K11" s="7">
        <v>0.0</v>
      </c>
    </row>
    <row r="12" ht="22.5" customHeight="1">
      <c r="A12" s="7">
        <v>2019.0</v>
      </c>
      <c r="B12" s="7">
        <v>11.0</v>
      </c>
      <c r="C12" s="8" t="str">
        <f>DATE(DADOS!$A12,DADOS!$B12,1)</f>
        <v>11/1/2019</v>
      </c>
      <c r="D12" s="7">
        <v>624.0</v>
      </c>
      <c r="E12" s="7">
        <v>2047.86</v>
      </c>
      <c r="F12" s="7">
        <v>3015000.0</v>
      </c>
      <c r="G12" s="9"/>
      <c r="H12" s="7">
        <v>7.0</v>
      </c>
      <c r="I12" s="9"/>
      <c r="J12" s="9"/>
      <c r="K12" s="7">
        <v>0.0</v>
      </c>
    </row>
    <row r="13" ht="22.5" customHeight="1">
      <c r="A13" s="7">
        <v>2019.0</v>
      </c>
      <c r="B13" s="7">
        <v>12.0</v>
      </c>
      <c r="C13" s="8" t="str">
        <f>DATE(DADOS!$A13,DADOS!$B13,1)</f>
        <v>12/1/2019</v>
      </c>
      <c r="D13" s="7">
        <v>700.0</v>
      </c>
      <c r="E13" s="7">
        <v>2047.86</v>
      </c>
      <c r="F13" s="7">
        <v>3015000.0</v>
      </c>
      <c r="G13" s="9"/>
      <c r="H13" s="7">
        <v>7.0</v>
      </c>
      <c r="I13" s="9"/>
      <c r="J13" s="9"/>
      <c r="K13" s="7">
        <v>0.0</v>
      </c>
    </row>
    <row r="14" ht="22.5" customHeight="1">
      <c r="A14" s="7">
        <v>2020.0</v>
      </c>
      <c r="B14" s="7">
        <v>1.0</v>
      </c>
      <c r="C14" s="8" t="str">
        <f>DATE(DADOS!$A14,DADOS!$B14,1)</f>
        <v>1/1/2020</v>
      </c>
      <c r="D14" s="7">
        <v>597.0</v>
      </c>
      <c r="E14" s="9"/>
      <c r="F14" s="7">
        <v>3052546.0</v>
      </c>
      <c r="G14" s="9"/>
      <c r="H14" s="7">
        <v>7.0</v>
      </c>
      <c r="I14" s="9"/>
      <c r="J14" s="9"/>
      <c r="K14" s="7">
        <v>0.0</v>
      </c>
    </row>
    <row r="15" ht="22.5" customHeight="1">
      <c r="A15" s="7">
        <v>2020.0</v>
      </c>
      <c r="B15" s="7">
        <v>2.0</v>
      </c>
      <c r="C15" s="8" t="str">
        <f>DATE(DADOS!$A15,DADOS!$B15,1)</f>
        <v>2/1/2020</v>
      </c>
      <c r="D15" s="7">
        <v>526.0</v>
      </c>
      <c r="E15" s="9"/>
      <c r="F15" s="7">
        <v>3052546.0</v>
      </c>
      <c r="G15" s="9"/>
      <c r="H15" s="7">
        <v>7.0</v>
      </c>
      <c r="I15" s="9"/>
      <c r="J15" s="9"/>
      <c r="K15" s="7">
        <v>0.0</v>
      </c>
    </row>
    <row r="16" ht="22.5" customHeight="1">
      <c r="A16" s="7">
        <v>2020.0</v>
      </c>
      <c r="B16" s="7">
        <v>3.0</v>
      </c>
      <c r="C16" s="8" t="str">
        <f>DATE(DADOS!$A16,DADOS!$B16,1)</f>
        <v>3/1/2020</v>
      </c>
      <c r="D16" s="7">
        <v>563.0</v>
      </c>
      <c r="E16" s="9"/>
      <c r="F16" s="7">
        <v>3052546.0</v>
      </c>
      <c r="G16" s="9"/>
      <c r="H16" s="7">
        <v>7.0</v>
      </c>
      <c r="I16" s="9"/>
      <c r="J16" s="9"/>
      <c r="K16" s="7">
        <v>0.0</v>
      </c>
    </row>
    <row r="17" ht="22.5" customHeight="1">
      <c r="A17" s="7">
        <v>2020.0</v>
      </c>
      <c r="B17" s="7">
        <v>4.0</v>
      </c>
      <c r="C17" s="8" t="str">
        <f>DATE(DADOS!$A17,DADOS!$B17,1)</f>
        <v>4/1/2020</v>
      </c>
      <c r="D17" s="7">
        <v>340.0</v>
      </c>
      <c r="E17" s="9"/>
      <c r="F17" s="7">
        <v>3052546.0</v>
      </c>
      <c r="G17" s="9"/>
      <c r="H17" s="7">
        <v>7.0</v>
      </c>
      <c r="I17" s="9"/>
      <c r="J17" s="9"/>
      <c r="K17" s="7">
        <v>1.0</v>
      </c>
    </row>
    <row r="18" ht="22.5" customHeight="1">
      <c r="A18" s="7">
        <v>2020.0</v>
      </c>
      <c r="B18" s="7">
        <v>5.0</v>
      </c>
      <c r="C18" s="8" t="str">
        <f>DATE(DADOS!$A18,DADOS!$B18,1)</f>
        <v>5/1/2020</v>
      </c>
      <c r="D18" s="7">
        <v>448.0</v>
      </c>
      <c r="E18" s="9"/>
      <c r="F18" s="7">
        <v>3052546.0</v>
      </c>
      <c r="G18" s="9"/>
      <c r="H18" s="7">
        <v>7.0</v>
      </c>
      <c r="I18" s="9"/>
      <c r="J18" s="9"/>
      <c r="K18" s="7">
        <v>1.0</v>
      </c>
    </row>
    <row r="19" ht="22.5" customHeight="1">
      <c r="A19" s="7">
        <v>2020.0</v>
      </c>
      <c r="B19" s="7">
        <v>6.0</v>
      </c>
      <c r="C19" s="8" t="str">
        <f>DATE(DADOS!$A19,DADOS!$B19,1)</f>
        <v>6/1/2020</v>
      </c>
      <c r="D19" s="7">
        <v>486.0</v>
      </c>
      <c r="E19" s="9"/>
      <c r="F19" s="7">
        <v>3052546.0</v>
      </c>
      <c r="G19" s="9"/>
      <c r="H19" s="7">
        <v>7.0</v>
      </c>
      <c r="I19" s="9"/>
      <c r="J19" s="9"/>
      <c r="K19" s="7">
        <v>1.0</v>
      </c>
    </row>
    <row r="20" ht="22.5" customHeight="1">
      <c r="A20" s="7">
        <v>2020.0</v>
      </c>
      <c r="B20" s="7">
        <v>7.0</v>
      </c>
      <c r="C20" s="8" t="str">
        <f>DATE(DADOS!$A20,DADOS!$B20,1)</f>
        <v>7/1/2020</v>
      </c>
      <c r="D20" s="7">
        <v>517.0</v>
      </c>
      <c r="E20" s="9"/>
      <c r="F20" s="7">
        <v>3052546.0</v>
      </c>
      <c r="G20" s="9"/>
      <c r="H20" s="7">
        <v>7.0</v>
      </c>
      <c r="I20" s="9"/>
      <c r="J20" s="9"/>
      <c r="K20" s="7">
        <v>1.0</v>
      </c>
    </row>
    <row r="21" ht="22.5" customHeight="1">
      <c r="A21" s="7">
        <v>2020.0</v>
      </c>
      <c r="B21" s="7">
        <v>8.0</v>
      </c>
      <c r="C21" s="8" t="str">
        <f>DATE(DADOS!$A21,DADOS!$B21,1)</f>
        <v>8/1/2020</v>
      </c>
      <c r="D21" s="7">
        <v>402.0</v>
      </c>
      <c r="E21" s="9"/>
      <c r="F21" s="7">
        <v>3052546.0</v>
      </c>
      <c r="G21" s="9"/>
      <c r="H21" s="7">
        <v>7.0</v>
      </c>
      <c r="I21" s="9"/>
      <c r="J21" s="9"/>
      <c r="K21" s="7">
        <v>1.0</v>
      </c>
    </row>
    <row r="22" ht="22.5" customHeight="1">
      <c r="A22" s="7">
        <v>2020.0</v>
      </c>
      <c r="B22" s="7">
        <v>9.0</v>
      </c>
      <c r="C22" s="8" t="str">
        <f>DATE(DADOS!$A22,DADOS!$B22,1)</f>
        <v>9/1/2020</v>
      </c>
      <c r="D22" s="7">
        <v>406.0</v>
      </c>
      <c r="E22" s="9"/>
      <c r="F22" s="7">
        <v>3052546.0</v>
      </c>
      <c r="G22" s="9"/>
      <c r="H22" s="7">
        <v>7.0</v>
      </c>
      <c r="I22" s="9"/>
      <c r="J22" s="9"/>
      <c r="K22" s="7">
        <v>1.0</v>
      </c>
    </row>
    <row r="23" ht="22.5" customHeight="1">
      <c r="A23" s="7">
        <v>2020.0</v>
      </c>
      <c r="B23" s="7">
        <v>10.0</v>
      </c>
      <c r="C23" s="8" t="str">
        <f>DATE(DADOS!$A23,DADOS!$B23,1)</f>
        <v>10/1/2020</v>
      </c>
      <c r="D23" s="7">
        <v>456.0</v>
      </c>
      <c r="E23" s="9"/>
      <c r="F23" s="7">
        <v>3052546.0</v>
      </c>
      <c r="G23" s="9"/>
      <c r="H23" s="7">
        <v>7.0</v>
      </c>
      <c r="I23" s="9"/>
      <c r="J23" s="9"/>
      <c r="K23" s="7">
        <v>1.0</v>
      </c>
    </row>
    <row r="24" ht="22.5" customHeight="1">
      <c r="A24" s="7">
        <v>2020.0</v>
      </c>
      <c r="B24" s="7">
        <v>11.0</v>
      </c>
      <c r="C24" s="8" t="str">
        <f>DATE(DADOS!$A24,DADOS!$B24,1)</f>
        <v>11/1/2020</v>
      </c>
      <c r="D24" s="7">
        <v>417.0</v>
      </c>
      <c r="E24" s="9"/>
      <c r="F24" s="7">
        <v>3052546.0</v>
      </c>
      <c r="G24" s="9"/>
      <c r="H24" s="7">
        <v>8.0</v>
      </c>
      <c r="I24" s="9"/>
      <c r="J24" s="9"/>
      <c r="K24" s="7">
        <v>1.0</v>
      </c>
    </row>
    <row r="25" ht="22.5" customHeight="1">
      <c r="A25" s="7">
        <v>2020.0</v>
      </c>
      <c r="B25" s="7">
        <v>12.0</v>
      </c>
      <c r="C25" s="8" t="str">
        <f>DATE(DADOS!$A25,DADOS!$B25,1)</f>
        <v>12/1/2020</v>
      </c>
      <c r="D25" s="7">
        <v>490.0</v>
      </c>
      <c r="E25" s="9"/>
      <c r="F25" s="7">
        <v>3052546.0</v>
      </c>
      <c r="G25" s="9"/>
      <c r="H25" s="7">
        <v>8.0</v>
      </c>
      <c r="I25" s="9"/>
      <c r="J25" s="9"/>
      <c r="K25" s="7">
        <v>1.0</v>
      </c>
    </row>
    <row r="26" ht="22.5" customHeight="1">
      <c r="A26" s="7">
        <v>2021.0</v>
      </c>
      <c r="B26" s="7">
        <v>1.0</v>
      </c>
      <c r="C26" s="8" t="str">
        <f>DATE(DADOS!$A26,DADOS!$B26,1)</f>
        <v>1/1/2021</v>
      </c>
      <c r="D26" s="7">
        <v>401.0</v>
      </c>
      <c r="E26" s="7">
        <v>2320.55</v>
      </c>
      <c r="F26" s="7">
        <v>3091667.0</v>
      </c>
      <c r="G26" s="9"/>
      <c r="H26" s="7">
        <v>8.0</v>
      </c>
      <c r="I26" s="9"/>
      <c r="J26" s="9"/>
      <c r="K26" s="7">
        <v>1.0</v>
      </c>
    </row>
    <row r="27" ht="22.5" customHeight="1">
      <c r="A27" s="7">
        <v>2021.0</v>
      </c>
      <c r="B27" s="7">
        <v>2.0</v>
      </c>
      <c r="C27" s="8" t="str">
        <f>DATE(DADOS!$A27,DADOS!$B27,1)</f>
        <v>2/1/2021</v>
      </c>
      <c r="D27" s="7">
        <v>422.0</v>
      </c>
      <c r="E27" s="7">
        <v>2320.55</v>
      </c>
      <c r="F27" s="7">
        <v>3091667.0</v>
      </c>
      <c r="G27" s="9"/>
      <c r="H27" s="7">
        <v>8.0</v>
      </c>
      <c r="I27" s="9"/>
      <c r="J27" s="9"/>
      <c r="K27" s="7">
        <v>1.0</v>
      </c>
    </row>
    <row r="28" ht="22.5" customHeight="1">
      <c r="A28" s="7">
        <v>2021.0</v>
      </c>
      <c r="B28" s="7">
        <v>3.0</v>
      </c>
      <c r="C28" s="8" t="str">
        <f>DATE(DADOS!$A28,DADOS!$B28,1)</f>
        <v>3/1/2021</v>
      </c>
      <c r="D28" s="7">
        <v>485.0</v>
      </c>
      <c r="E28" s="7">
        <v>2320.55</v>
      </c>
      <c r="F28" s="7">
        <v>3091667.0</v>
      </c>
      <c r="G28" s="9"/>
      <c r="H28" s="7">
        <v>8.0</v>
      </c>
      <c r="I28" s="9"/>
      <c r="J28" s="9"/>
      <c r="K28" s="7">
        <v>1.0</v>
      </c>
    </row>
    <row r="29" ht="22.5" customHeight="1">
      <c r="A29" s="7">
        <v>2021.0</v>
      </c>
      <c r="B29" s="7">
        <v>4.0</v>
      </c>
      <c r="C29" s="8" t="str">
        <f>DATE(DADOS!$A29,DADOS!$B29,1)</f>
        <v>4/1/2021</v>
      </c>
      <c r="D29" s="7">
        <v>432.0</v>
      </c>
      <c r="E29" s="7">
        <v>2320.55</v>
      </c>
      <c r="F29" s="7">
        <v>3091667.0</v>
      </c>
      <c r="G29" s="9"/>
      <c r="H29" s="7">
        <v>8.0</v>
      </c>
      <c r="I29" s="9"/>
      <c r="J29" s="9"/>
      <c r="K29" s="7">
        <v>1.0</v>
      </c>
    </row>
    <row r="30" ht="22.5" customHeight="1">
      <c r="A30" s="7">
        <v>2021.0</v>
      </c>
      <c r="B30" s="7">
        <v>5.0</v>
      </c>
      <c r="C30" s="8" t="str">
        <f>DATE(DADOS!$A30,DADOS!$B30,1)</f>
        <v>5/1/2021</v>
      </c>
      <c r="D30" s="7">
        <v>412.0</v>
      </c>
      <c r="E30" s="7">
        <v>2320.55</v>
      </c>
      <c r="F30" s="7">
        <v>3091667.0</v>
      </c>
      <c r="G30" s="9"/>
      <c r="H30" s="7">
        <v>8.0</v>
      </c>
      <c r="I30" s="9"/>
      <c r="J30" s="9"/>
      <c r="K30" s="7">
        <v>1.0</v>
      </c>
    </row>
    <row r="31" ht="22.5" customHeight="1">
      <c r="A31" s="7">
        <v>2021.0</v>
      </c>
      <c r="B31" s="7">
        <v>6.0</v>
      </c>
      <c r="C31" s="8" t="str">
        <f>DATE(DADOS!$A31,DADOS!$B31,1)</f>
        <v>6/1/2021</v>
      </c>
      <c r="D31" s="7">
        <v>549.0</v>
      </c>
      <c r="E31" s="7">
        <v>2320.55</v>
      </c>
      <c r="F31" s="7">
        <v>3091667.0</v>
      </c>
      <c r="G31" s="9"/>
      <c r="H31" s="7">
        <v>8.0</v>
      </c>
      <c r="I31" s="9"/>
      <c r="J31" s="9"/>
      <c r="K31" s="7">
        <v>1.0</v>
      </c>
    </row>
    <row r="32" ht="22.5" customHeight="1">
      <c r="A32" s="7">
        <v>2021.0</v>
      </c>
      <c r="B32" s="7">
        <v>7.0</v>
      </c>
      <c r="C32" s="8" t="str">
        <f>DATE(DADOS!$A32,DADOS!$B32,1)</f>
        <v>7/1/2021</v>
      </c>
      <c r="D32" s="7">
        <v>527.0</v>
      </c>
      <c r="E32" s="7">
        <v>2320.55</v>
      </c>
      <c r="F32" s="7">
        <v>3091667.0</v>
      </c>
      <c r="G32" s="9"/>
      <c r="H32" s="7">
        <v>8.0</v>
      </c>
      <c r="I32" s="9"/>
      <c r="J32" s="9"/>
      <c r="K32" s="7">
        <v>1.0</v>
      </c>
    </row>
    <row r="33" ht="22.5" customHeight="1">
      <c r="A33" s="7">
        <v>2021.0</v>
      </c>
      <c r="B33" s="7">
        <v>8.0</v>
      </c>
      <c r="C33" s="8" t="str">
        <f>DATE(DADOS!$A33,DADOS!$B33,1)</f>
        <v>8/1/2021</v>
      </c>
      <c r="D33" s="7">
        <v>631.0</v>
      </c>
      <c r="E33" s="7">
        <v>2320.55</v>
      </c>
      <c r="F33" s="7">
        <v>3091667.0</v>
      </c>
      <c r="G33" s="9"/>
      <c r="H33" s="7">
        <v>8.0</v>
      </c>
      <c r="I33" s="9"/>
      <c r="J33" s="9"/>
      <c r="K33" s="7">
        <v>1.0</v>
      </c>
    </row>
    <row r="34" ht="22.5" customHeight="1">
      <c r="A34" s="7">
        <v>2021.0</v>
      </c>
      <c r="B34" s="7">
        <v>9.0</v>
      </c>
      <c r="C34" s="8" t="str">
        <f>DATE(DADOS!$A34,DADOS!$B34,1)</f>
        <v>9/1/2021</v>
      </c>
      <c r="D34" s="7">
        <v>599.0</v>
      </c>
      <c r="E34" s="7">
        <v>2320.55</v>
      </c>
      <c r="F34" s="7">
        <v>3091667.0</v>
      </c>
      <c r="G34" s="9"/>
      <c r="H34" s="7">
        <v>8.0</v>
      </c>
      <c r="I34" s="9"/>
      <c r="J34" s="9"/>
      <c r="K34" s="7">
        <v>1.0</v>
      </c>
    </row>
    <row r="35" ht="22.5" customHeight="1">
      <c r="A35" s="7">
        <v>2021.0</v>
      </c>
      <c r="B35" s="7">
        <v>10.0</v>
      </c>
      <c r="C35" s="8" t="str">
        <f>DATE(DADOS!$A35,DADOS!$B35,1)</f>
        <v>10/1/2021</v>
      </c>
      <c r="D35" s="7">
        <v>557.0</v>
      </c>
      <c r="E35" s="7">
        <v>2320.55</v>
      </c>
      <c r="F35" s="7">
        <v>3091667.0</v>
      </c>
      <c r="G35" s="9"/>
      <c r="H35" s="7">
        <v>9.0</v>
      </c>
      <c r="I35" s="9"/>
      <c r="J35" s="9"/>
      <c r="K35" s="7">
        <v>1.0</v>
      </c>
    </row>
    <row r="36" ht="22.5" customHeight="1">
      <c r="A36" s="7">
        <v>2021.0</v>
      </c>
      <c r="B36" s="7">
        <v>11.0</v>
      </c>
      <c r="C36" s="8" t="str">
        <f>DATE(DADOS!$A36,DADOS!$B36,1)</f>
        <v>11/1/2021</v>
      </c>
      <c r="D36" s="7">
        <v>613.0</v>
      </c>
      <c r="E36" s="7">
        <v>2320.55</v>
      </c>
      <c r="F36" s="7">
        <v>3091667.0</v>
      </c>
      <c r="G36" s="9"/>
      <c r="H36" s="7">
        <v>9.0</v>
      </c>
      <c r="I36" s="9"/>
      <c r="J36" s="9"/>
      <c r="K36" s="7">
        <v>1.0</v>
      </c>
    </row>
    <row r="37" ht="22.5" customHeight="1">
      <c r="A37" s="7">
        <v>2021.0</v>
      </c>
      <c r="B37" s="7">
        <v>12.0</v>
      </c>
      <c r="C37" s="8" t="str">
        <f>DATE(DADOS!$A37,DADOS!$B37,1)</f>
        <v>12/1/2021</v>
      </c>
      <c r="D37" s="7">
        <v>733.0</v>
      </c>
      <c r="E37" s="7">
        <v>2320.55</v>
      </c>
      <c r="F37" s="7">
        <v>3091667.0</v>
      </c>
      <c r="G37" s="9"/>
      <c r="H37" s="7">
        <v>9.0</v>
      </c>
      <c r="I37" s="9"/>
      <c r="J37" s="9"/>
      <c r="K37" s="7">
        <v>1.0</v>
      </c>
    </row>
    <row r="38" ht="22.5" customHeight="1">
      <c r="A38" s="7">
        <v>2022.0</v>
      </c>
      <c r="B38" s="7">
        <v>1.0</v>
      </c>
      <c r="C38" s="8" t="str">
        <f>DATE(DADOS!$A38,DADOS!$B38,1)</f>
        <v>1/1/2022</v>
      </c>
      <c r="D38" s="7">
        <v>390.0</v>
      </c>
      <c r="E38" s="9"/>
      <c r="F38" s="7">
        <v>3130014.0</v>
      </c>
      <c r="G38" s="9"/>
      <c r="H38" s="7">
        <v>9.0</v>
      </c>
      <c r="I38" s="9"/>
      <c r="J38" s="9"/>
      <c r="K38" s="7">
        <v>1.0</v>
      </c>
    </row>
    <row r="39" ht="22.5" customHeight="1">
      <c r="A39" s="7">
        <v>2022.0</v>
      </c>
      <c r="B39" s="7">
        <v>2.0</v>
      </c>
      <c r="C39" s="8" t="str">
        <f>DATE(DADOS!$A39,DADOS!$B39,1)</f>
        <v>2/1/2022</v>
      </c>
      <c r="D39" s="7">
        <v>481.0</v>
      </c>
      <c r="E39" s="9"/>
      <c r="F39" s="7">
        <v>3130014.0</v>
      </c>
      <c r="G39" s="9"/>
      <c r="H39" s="7">
        <v>9.0</v>
      </c>
      <c r="I39" s="9"/>
      <c r="J39" s="9"/>
      <c r="K39" s="7">
        <v>1.0</v>
      </c>
    </row>
    <row r="40" ht="22.5" customHeight="1">
      <c r="A40" s="7">
        <v>2022.0</v>
      </c>
      <c r="B40" s="7">
        <v>3.0</v>
      </c>
      <c r="C40" s="8" t="str">
        <f>DATE(DADOS!$A40,DADOS!$B40,1)</f>
        <v>3/1/2022</v>
      </c>
      <c r="D40" s="7">
        <v>552.0</v>
      </c>
      <c r="E40" s="9"/>
      <c r="F40" s="7">
        <v>3130014.0</v>
      </c>
      <c r="G40" s="9"/>
      <c r="H40" s="7">
        <v>10.0</v>
      </c>
      <c r="I40" s="7">
        <v>4.1585</v>
      </c>
      <c r="J40" s="7">
        <v>4.968086490033929</v>
      </c>
      <c r="K40" s="7">
        <v>1.0</v>
      </c>
    </row>
    <row r="41" ht="22.5" customHeight="1">
      <c r="A41" s="7">
        <v>2022.0</v>
      </c>
      <c r="B41" s="7">
        <v>4.0</v>
      </c>
      <c r="C41" s="8" t="str">
        <f>DATE(DADOS!$A41,DADOS!$B41,1)</f>
        <v>4/1/2022</v>
      </c>
      <c r="D41" s="7">
        <v>539.0</v>
      </c>
      <c r="E41" s="9"/>
      <c r="F41" s="7">
        <v>3130014.0</v>
      </c>
      <c r="G41" s="9"/>
      <c r="H41" s="7">
        <v>10.0</v>
      </c>
      <c r="I41" s="7">
        <v>4.1585</v>
      </c>
      <c r="J41" s="7">
        <v>4.915976252882711</v>
      </c>
      <c r="K41" s="7">
        <v>1.0</v>
      </c>
    </row>
    <row r="42" ht="22.5" customHeight="1">
      <c r="A42" s="7">
        <v>2022.0</v>
      </c>
      <c r="B42" s="7">
        <v>5.0</v>
      </c>
      <c r="C42" s="8" t="str">
        <f>DATE(DADOS!$A42,DADOS!$B42,1)</f>
        <v>5/1/2022</v>
      </c>
      <c r="D42" s="7">
        <v>574.0</v>
      </c>
      <c r="E42" s="9"/>
      <c r="F42" s="7">
        <v>3130014.0</v>
      </c>
      <c r="G42" s="9"/>
      <c r="H42" s="7">
        <v>10.0</v>
      </c>
      <c r="I42" s="9"/>
      <c r="J42" s="9"/>
      <c r="K42" s="7">
        <v>1.0</v>
      </c>
    </row>
    <row r="43" ht="22.5" customHeight="1">
      <c r="A43" s="7">
        <v>2022.0</v>
      </c>
      <c r="B43" s="7">
        <v>6.0</v>
      </c>
      <c r="C43" s="8" t="str">
        <f>DATE(DADOS!$A43,DADOS!$B43,1)</f>
        <v>6/1/2022</v>
      </c>
      <c r="D43" s="7">
        <v>758.0</v>
      </c>
      <c r="E43" s="9"/>
      <c r="F43" s="7">
        <v>3130014.0</v>
      </c>
      <c r="G43" s="9"/>
      <c r="H43" s="7">
        <v>10.0</v>
      </c>
      <c r="I43" s="9"/>
      <c r="J43" s="9"/>
      <c r="K43" s="7">
        <v>1.0</v>
      </c>
    </row>
    <row r="44" ht="22.5" customHeight="1">
      <c r="A44" s="7">
        <v>2022.0</v>
      </c>
      <c r="B44" s="7">
        <v>7.0</v>
      </c>
      <c r="C44" s="8" t="str">
        <f>DATE(DADOS!$A44,DADOS!$B44,1)</f>
        <v>7/1/2022</v>
      </c>
      <c r="D44" s="7">
        <v>595.0</v>
      </c>
      <c r="E44" s="9"/>
      <c r="F44" s="7">
        <v>3130014.0</v>
      </c>
      <c r="G44" s="9"/>
      <c r="H44" s="7">
        <v>10.0</v>
      </c>
      <c r="I44" s="9"/>
      <c r="J44" s="9"/>
      <c r="K44" s="7">
        <v>1.0</v>
      </c>
    </row>
    <row r="45" ht="22.5" customHeight="1">
      <c r="A45" s="7">
        <v>2022.0</v>
      </c>
      <c r="B45" s="7">
        <v>8.0</v>
      </c>
      <c r="C45" s="8" t="str">
        <f>DATE(DADOS!$A45,DADOS!$B45,1)</f>
        <v>8/1/2022</v>
      </c>
      <c r="D45" s="7">
        <v>562.0</v>
      </c>
      <c r="E45" s="9"/>
      <c r="F45" s="7">
        <v>3130014.0</v>
      </c>
      <c r="G45" s="9"/>
      <c r="H45" s="7">
        <v>10.0</v>
      </c>
      <c r="I45" s="9"/>
      <c r="J45" s="9"/>
      <c r="K45" s="7">
        <v>1.0</v>
      </c>
    </row>
    <row r="46" ht="22.5" customHeight="1">
      <c r="A46" s="7">
        <v>2022.0</v>
      </c>
      <c r="B46" s="7">
        <v>9.0</v>
      </c>
      <c r="C46" s="8" t="str">
        <f>DATE(DADOS!$A46,DADOS!$B46,1)</f>
        <v>9/1/2022</v>
      </c>
      <c r="D46" s="7">
        <v>637.0</v>
      </c>
      <c r="E46" s="9"/>
      <c r="F46" s="7">
        <v>3130014.0</v>
      </c>
      <c r="G46" s="9"/>
      <c r="H46" s="7">
        <v>10.0</v>
      </c>
      <c r="I46" s="9"/>
      <c r="J46" s="9"/>
      <c r="K46" s="7">
        <v>1.0</v>
      </c>
    </row>
    <row r="47" ht="22.5" customHeight="1">
      <c r="A47" s="7">
        <v>2022.0</v>
      </c>
      <c r="B47" s="7">
        <v>10.0</v>
      </c>
      <c r="C47" s="8" t="str">
        <f>DATE(DADOS!$A47,DADOS!$B47,1)</f>
        <v>10/1/2022</v>
      </c>
      <c r="D47" s="7">
        <v>602.0</v>
      </c>
      <c r="E47" s="9"/>
      <c r="F47" s="7">
        <v>3130014.0</v>
      </c>
      <c r="G47" s="9"/>
      <c r="H47" s="7">
        <v>10.0</v>
      </c>
      <c r="I47" s="9"/>
      <c r="J47" s="9"/>
      <c r="K47" s="7">
        <v>1.0</v>
      </c>
    </row>
    <row r="48" ht="22.5" customHeight="1">
      <c r="A48" s="7">
        <v>2022.0</v>
      </c>
      <c r="B48" s="7">
        <v>11.0</v>
      </c>
      <c r="C48" s="8" t="str">
        <f>DATE(DADOS!$A48,DADOS!$B48,1)</f>
        <v>11/1/2022</v>
      </c>
      <c r="D48" s="7">
        <v>430.0</v>
      </c>
      <c r="E48" s="9"/>
      <c r="F48" s="7">
        <v>3130014.0</v>
      </c>
      <c r="G48" s="9"/>
      <c r="H48" s="7">
        <v>10.0</v>
      </c>
      <c r="I48" s="9"/>
      <c r="J48" s="9"/>
      <c r="K48" s="7">
        <v>1.0</v>
      </c>
    </row>
    <row r="49" ht="22.5" customHeight="1">
      <c r="A49" s="7">
        <v>2022.0</v>
      </c>
      <c r="B49" s="7">
        <v>12.0</v>
      </c>
      <c r="C49" s="8" t="str">
        <f>DATE(DADOS!$A49,DADOS!$B49,1)</f>
        <v>12/1/2022</v>
      </c>
      <c r="D49" s="7">
        <v>541.0</v>
      </c>
      <c r="E49" s="9"/>
      <c r="F49" s="7">
        <v>3130014.0</v>
      </c>
      <c r="G49" s="9"/>
      <c r="H49" s="7">
        <v>10.0</v>
      </c>
      <c r="I49" s="9"/>
      <c r="J49" s="9"/>
      <c r="K49" s="7">
        <v>1.0</v>
      </c>
    </row>
    <row r="50" ht="22.5" customHeight="1">
      <c r="A50" s="7">
        <v>2023.0</v>
      </c>
      <c r="B50" s="7">
        <v>1.0</v>
      </c>
      <c r="C50" s="8" t="str">
        <f>DATE(DADOS!$A50,DADOS!$B50,1)</f>
        <v>1/1/2023</v>
      </c>
      <c r="D50" s="7">
        <v>496.0</v>
      </c>
      <c r="E50" s="9"/>
      <c r="F50" s="7">
        <v>3167502.0</v>
      </c>
      <c r="G50" s="9"/>
      <c r="H50" s="7">
        <v>10.0</v>
      </c>
      <c r="I50" s="9"/>
      <c r="J50" s="9"/>
      <c r="K50" s="7">
        <v>1.0</v>
      </c>
    </row>
    <row r="51" ht="22.5" customHeight="1">
      <c r="A51" s="7">
        <v>2023.0</v>
      </c>
      <c r="B51" s="7">
        <v>2.0</v>
      </c>
      <c r="C51" s="8" t="str">
        <f>DATE(DADOS!$A51,DADOS!$B51,1)</f>
        <v>2/1/2023</v>
      </c>
      <c r="D51" s="7">
        <v>447.0</v>
      </c>
      <c r="E51" s="9"/>
      <c r="F51" s="7">
        <v>3167502.0</v>
      </c>
      <c r="G51" s="9"/>
      <c r="H51" s="7">
        <v>11.0</v>
      </c>
      <c r="I51" s="9"/>
      <c r="J51" s="9"/>
      <c r="K51" s="7">
        <v>1.0</v>
      </c>
    </row>
    <row r="52" ht="22.5" customHeight="1">
      <c r="A52" s="7">
        <v>2023.0</v>
      </c>
      <c r="B52" s="7">
        <v>3.0</v>
      </c>
      <c r="C52" s="8" t="str">
        <f>DATE(DADOS!$A52,DADOS!$B52,1)</f>
        <v>3/1/2023</v>
      </c>
      <c r="D52" s="7">
        <v>427.0</v>
      </c>
      <c r="E52" s="9"/>
      <c r="F52" s="7">
        <v>3167502.0</v>
      </c>
      <c r="G52" s="9"/>
      <c r="H52" s="7">
        <v>11.0</v>
      </c>
      <c r="I52" s="9"/>
      <c r="J52" s="9"/>
      <c r="K52" s="7">
        <v>1.0</v>
      </c>
    </row>
    <row r="53" ht="22.5" customHeight="1">
      <c r="A53" s="7">
        <v>2023.0</v>
      </c>
      <c r="B53" s="7">
        <v>4.0</v>
      </c>
      <c r="C53" s="8" t="str">
        <f>DATE(DADOS!$A53,DADOS!$B53,1)</f>
        <v>4/1/2023</v>
      </c>
      <c r="D53" s="7">
        <v>582.0</v>
      </c>
      <c r="E53" s="9"/>
      <c r="F53" s="7">
        <v>3167502.0</v>
      </c>
      <c r="G53" s="9"/>
      <c r="H53" s="7">
        <v>11.0</v>
      </c>
      <c r="I53" s="9"/>
      <c r="J53" s="9"/>
      <c r="K53" s="7">
        <v>1.0</v>
      </c>
    </row>
    <row r="54" ht="22.5" customHeight="1">
      <c r="A54" s="7">
        <v>2023.0</v>
      </c>
      <c r="B54" s="7">
        <v>5.0</v>
      </c>
      <c r="C54" s="8" t="str">
        <f>DATE(DADOS!$A54,DADOS!$B54,1)</f>
        <v>5/1/2023</v>
      </c>
      <c r="D54" s="7">
        <v>740.0</v>
      </c>
      <c r="E54" s="9"/>
      <c r="F54" s="7">
        <v>3167502.0</v>
      </c>
      <c r="G54" s="9"/>
      <c r="H54" s="7">
        <v>11.0</v>
      </c>
      <c r="I54" s="9"/>
      <c r="J54" s="9"/>
      <c r="K54" s="7">
        <v>1.0</v>
      </c>
    </row>
    <row r="55" ht="22.5" customHeight="1">
      <c r="A55" s="7">
        <v>2023.0</v>
      </c>
      <c r="B55" s="7">
        <v>6.0</v>
      </c>
      <c r="C55" s="8" t="str">
        <f>DATE(DADOS!$A55,DADOS!$B55,1)</f>
        <v>6/1/2023</v>
      </c>
      <c r="D55" s="7">
        <v>724.0</v>
      </c>
      <c r="E55" s="9"/>
      <c r="F55" s="7">
        <v>3167502.0</v>
      </c>
      <c r="G55" s="9"/>
      <c r="H55" s="7">
        <v>12.0</v>
      </c>
      <c r="I55" s="9"/>
      <c r="J55" s="9"/>
      <c r="K55" s="7">
        <v>1.0</v>
      </c>
    </row>
    <row r="56" ht="22.5" customHeight="1">
      <c r="A56" s="7">
        <v>2023.0</v>
      </c>
      <c r="B56" s="7">
        <v>7.0</v>
      </c>
      <c r="C56" s="8" t="str">
        <f>DATE(DADOS!$A56,DADOS!$B56,1)</f>
        <v>7/1/2023</v>
      </c>
      <c r="D56" s="7">
        <v>657.0</v>
      </c>
      <c r="E56" s="9"/>
      <c r="F56" s="7">
        <v>3167502.0</v>
      </c>
      <c r="G56" s="9"/>
      <c r="H56" s="7">
        <v>12.0</v>
      </c>
      <c r="I56" s="7">
        <v>3.47054</v>
      </c>
      <c r="J56" s="7">
        <v>3.9273094368275667</v>
      </c>
      <c r="K56" s="7">
        <v>1.0</v>
      </c>
    </row>
    <row r="57" ht="22.5" customHeight="1">
      <c r="A57" s="7">
        <v>2023.0</v>
      </c>
      <c r="B57" s="7">
        <v>8.0</v>
      </c>
      <c r="C57" s="8" t="str">
        <f>DATE(DADOS!$A57,DADOS!$B57,1)</f>
        <v>8/1/2023</v>
      </c>
      <c r="D57" s="7">
        <v>625.0</v>
      </c>
      <c r="E57" s="9"/>
      <c r="F57" s="7">
        <v>3167502.0</v>
      </c>
      <c r="G57" s="9"/>
      <c r="H57" s="7">
        <v>12.0</v>
      </c>
      <c r="I57" s="7">
        <v>3.60729</v>
      </c>
      <c r="J57" s="7">
        <v>4.072688098314001</v>
      </c>
      <c r="K57" s="7">
        <v>1.0</v>
      </c>
    </row>
    <row r="58" ht="22.5" customHeight="1">
      <c r="A58" s="7">
        <v>2023.0</v>
      </c>
      <c r="B58" s="7">
        <v>9.0</v>
      </c>
      <c r="C58" s="8" t="str">
        <f>DATE(DADOS!$A58,DADOS!$B58,1)</f>
        <v>9/1/2023</v>
      </c>
      <c r="D58" s="7">
        <v>685.0</v>
      </c>
      <c r="E58" s="9"/>
      <c r="F58" s="7">
        <v>3167502.0</v>
      </c>
      <c r="G58" s="9"/>
      <c r="H58" s="7">
        <v>12.0</v>
      </c>
      <c r="I58" s="7">
        <v>4.17923</v>
      </c>
      <c r="J58" s="7">
        <v>4.7061789945915775</v>
      </c>
      <c r="K58" s="7">
        <v>1.0</v>
      </c>
    </row>
    <row r="59" ht="22.5" customHeight="1">
      <c r="A59" s="7">
        <v>2023.0</v>
      </c>
      <c r="B59" s="7">
        <v>10.0</v>
      </c>
      <c r="C59" s="8" t="str">
        <f>DATE(DADOS!$A59,DADOS!$B59,1)</f>
        <v>10/1/2023</v>
      </c>
      <c r="D59" s="7">
        <v>658.0</v>
      </c>
      <c r="E59" s="9"/>
      <c r="F59" s="7">
        <v>3167502.0</v>
      </c>
      <c r="G59" s="9"/>
      <c r="H59" s="7">
        <v>12.0</v>
      </c>
      <c r="I59" s="7">
        <v>4.53222</v>
      </c>
      <c r="J59" s="7">
        <v>5.091458352802103</v>
      </c>
      <c r="K59" s="7">
        <v>1.0</v>
      </c>
    </row>
    <row r="60" ht="22.5" customHeight="1">
      <c r="A60" s="7">
        <v>2023.0</v>
      </c>
      <c r="B60" s="7">
        <v>11.0</v>
      </c>
      <c r="C60" s="8" t="str">
        <f>DATE(DADOS!$A60,DADOS!$B60,1)</f>
        <v>11/1/2023</v>
      </c>
      <c r="D60" s="7">
        <v>632.0</v>
      </c>
      <c r="E60" s="9"/>
      <c r="F60" s="7">
        <v>3167502.0</v>
      </c>
      <c r="G60" s="9"/>
      <c r="H60" s="7">
        <v>12.0</v>
      </c>
      <c r="I60" s="7">
        <v>4.49149</v>
      </c>
      <c r="J60" s="7">
        <v>5.031611752522065</v>
      </c>
      <c r="K60" s="7">
        <v>1.0</v>
      </c>
    </row>
    <row r="61" ht="22.5" customHeight="1">
      <c r="A61" s="7">
        <v>2023.0</v>
      </c>
      <c r="B61" s="7">
        <v>12.0</v>
      </c>
      <c r="C61" s="8" t="str">
        <f>DATE(DADOS!$A61,DADOS!$B61,1)</f>
        <v>12/1/2023</v>
      </c>
      <c r="D61" s="7">
        <v>543.0</v>
      </c>
      <c r="E61" s="9"/>
      <c r="F61" s="7">
        <v>3167502.0</v>
      </c>
      <c r="G61" s="9"/>
      <c r="H61" s="7">
        <v>12.0</v>
      </c>
      <c r="I61" s="7">
        <v>4.27567</v>
      </c>
      <c r="J61" s="7">
        <v>4.763164063310631</v>
      </c>
      <c r="K61" s="7">
        <v>1.0</v>
      </c>
    </row>
    <row r="62" ht="22.5" customHeight="1">
      <c r="A62" s="7">
        <v>2024.0</v>
      </c>
      <c r="B62" s="7">
        <v>1.0</v>
      </c>
      <c r="C62" s="8" t="str">
        <f>DATE(DADOS!$A62,DADOS!$B62,1)</f>
        <v>1/1/2024</v>
      </c>
      <c r="D62" s="7">
        <v>502.0</v>
      </c>
      <c r="E62" s="7">
        <v>2579.39</v>
      </c>
      <c r="F62" s="7">
        <v>3204070.0</v>
      </c>
      <c r="G62" s="9"/>
      <c r="H62" s="7">
        <v>12.0</v>
      </c>
      <c r="I62" s="7">
        <v>3.82944</v>
      </c>
      <c r="J62" s="7">
        <v>4.248212864275507</v>
      </c>
      <c r="K62" s="7">
        <v>1.0</v>
      </c>
    </row>
    <row r="63" ht="22.5" customHeight="1">
      <c r="A63" s="7">
        <v>2024.0</v>
      </c>
      <c r="B63" s="7">
        <v>2.0</v>
      </c>
      <c r="C63" s="8" t="str">
        <f>DATE(DADOS!$A63,DADOS!$B63,1)</f>
        <v>2/1/2024</v>
      </c>
      <c r="D63" s="7">
        <v>403.0</v>
      </c>
      <c r="E63" s="7">
        <v>2579.39</v>
      </c>
      <c r="F63" s="7">
        <v>3204070.0</v>
      </c>
      <c r="G63" s="9"/>
      <c r="H63" s="7">
        <v>12.0</v>
      </c>
      <c r="I63" s="7">
        <v>3.80717</v>
      </c>
      <c r="J63" s="7">
        <v>4.188743564259854</v>
      </c>
      <c r="K63" s="7">
        <v>1.0</v>
      </c>
    </row>
    <row r="64" ht="22.5" customHeight="1">
      <c r="A64" s="7">
        <v>2024.0</v>
      </c>
      <c r="B64" s="7">
        <v>3.0</v>
      </c>
      <c r="C64" s="8" t="str">
        <f>DATE(DADOS!$A64,DADOS!$B64,1)</f>
        <v>3/1/2024</v>
      </c>
      <c r="D64" s="7">
        <v>427.0</v>
      </c>
      <c r="E64" s="7">
        <v>2579.39</v>
      </c>
      <c r="F64" s="7">
        <v>3204070.0</v>
      </c>
      <c r="G64" s="9"/>
      <c r="H64" s="7">
        <v>12.0</v>
      </c>
      <c r="I64" s="7">
        <v>4.05763</v>
      </c>
      <c r="J64" s="7">
        <v>4.457176428766919</v>
      </c>
      <c r="K64" s="7">
        <v>1.0</v>
      </c>
    </row>
    <row r="65" ht="22.5" customHeight="1">
      <c r="A65" s="7">
        <v>2024.0</v>
      </c>
      <c r="B65" s="7">
        <v>4.0</v>
      </c>
      <c r="C65" s="8" t="str">
        <f>DATE(DADOS!$A65,DADOS!$B65,1)</f>
        <v>4/1/2024</v>
      </c>
      <c r="D65" s="7">
        <v>567.0</v>
      </c>
      <c r="E65" s="7">
        <v>2579.39</v>
      </c>
      <c r="F65" s="7">
        <v>3204070.0</v>
      </c>
      <c r="G65" s="9"/>
      <c r="H65" s="7">
        <v>12.0</v>
      </c>
      <c r="I65" s="7">
        <v>4.067</v>
      </c>
      <c r="J65" s="7">
        <v>4.450558720218585</v>
      </c>
      <c r="K65" s="7">
        <v>1.0</v>
      </c>
    </row>
    <row r="66" ht="22.5" customHeight="1">
      <c r="A66" s="7">
        <v>2024.0</v>
      </c>
      <c r="B66" s="7">
        <v>5.0</v>
      </c>
      <c r="C66" s="8" t="str">
        <f>DATE(DADOS!$A66,DADOS!$B66,1)</f>
        <v>5/1/2024</v>
      </c>
      <c r="D66" s="7">
        <v>563.0</v>
      </c>
      <c r="E66" s="7">
        <v>2579.39</v>
      </c>
      <c r="F66" s="7">
        <v>3204070.0</v>
      </c>
      <c r="G66" s="9"/>
      <c r="H66" s="7">
        <v>12.0</v>
      </c>
      <c r="I66" s="7">
        <v>4.14394</v>
      </c>
      <c r="J66" s="7">
        <v>4.513989338497695</v>
      </c>
      <c r="K66" s="7">
        <v>1.0</v>
      </c>
    </row>
    <row r="67" ht="22.5" customHeight="1">
      <c r="A67" s="7">
        <v>2024.0</v>
      </c>
      <c r="B67" s="7">
        <v>6.0</v>
      </c>
      <c r="C67" s="8" t="str">
        <f>DATE(DADOS!$A67,DADOS!$B67,1)</f>
        <v>6/1/2024</v>
      </c>
      <c r="D67" s="7">
        <v>573.0</v>
      </c>
      <c r="E67" s="7">
        <v>2579.39</v>
      </c>
      <c r="F67" s="7">
        <v>3204070.0</v>
      </c>
      <c r="G67" s="9"/>
      <c r="H67" s="7">
        <v>12.0</v>
      </c>
      <c r="I67" s="7">
        <v>3.92496</v>
      </c>
      <c r="J67" s="7">
        <v>4.266492943005196</v>
      </c>
      <c r="K67" s="7">
        <v>1.0</v>
      </c>
    </row>
    <row r="68" ht="22.5" customHeight="1">
      <c r="A68" s="7">
        <v>2024.0</v>
      </c>
      <c r="B68" s="7">
        <v>7.0</v>
      </c>
      <c r="C68" s="8" t="str">
        <f>DATE(DADOS!$A68,DADOS!$B68,1)</f>
        <v>7/1/2024</v>
      </c>
      <c r="D68" s="7">
        <v>600.0</v>
      </c>
      <c r="E68" s="7">
        <v>2579.39</v>
      </c>
      <c r="F68" s="7">
        <v>3204070.0</v>
      </c>
      <c r="G68" s="9"/>
      <c r="H68" s="7">
        <v>12.0</v>
      </c>
      <c r="I68" s="7">
        <v>3.98482</v>
      </c>
      <c r="J68" s="7">
        <v>4.315162675444072</v>
      </c>
      <c r="K68" s="7">
        <v>1.0</v>
      </c>
    </row>
    <row r="69" ht="22.5" customHeight="1">
      <c r="A69" s="7">
        <v>2024.0</v>
      </c>
      <c r="B69" s="7">
        <v>8.0</v>
      </c>
      <c r="C69" s="8" t="str">
        <f>DATE(DADOS!$A69,DADOS!$B69,1)</f>
        <v>8/1/2024</v>
      </c>
      <c r="D69" s="7">
        <v>677.0</v>
      </c>
      <c r="E69" s="7">
        <v>2579.39</v>
      </c>
      <c r="F69" s="7">
        <v>3204070.0</v>
      </c>
      <c r="G69" s="9"/>
      <c r="H69" s="7">
        <v>12.0</v>
      </c>
      <c r="I69" s="7">
        <v>4.15077</v>
      </c>
      <c r="J69" s="7">
        <v>4.495766820943085</v>
      </c>
      <c r="K69" s="7">
        <v>1.0</v>
      </c>
    </row>
    <row r="70" ht="22.5" customHeight="1">
      <c r="A70" s="7">
        <v>2024.0</v>
      </c>
      <c r="B70" s="7">
        <v>9.0</v>
      </c>
      <c r="C70" s="8" t="str">
        <f>DATE(DADOS!$A70,DADOS!$B70,1)</f>
        <v>9/1/2024</v>
      </c>
      <c r="D70" s="7">
        <v>590.0</v>
      </c>
      <c r="E70" s="7">
        <v>2579.39</v>
      </c>
      <c r="F70" s="7">
        <v>3204070.0</v>
      </c>
      <c r="G70" s="9"/>
      <c r="H70" s="7">
        <v>12.0</v>
      </c>
      <c r="I70" s="7">
        <v>4.02015</v>
      </c>
      <c r="J70" s="7">
        <v>4.335216828208629</v>
      </c>
      <c r="K70" s="7">
        <v>1.0</v>
      </c>
    </row>
    <row r="71" ht="22.5" customHeight="1">
      <c r="A71" s="7">
        <v>2024.0</v>
      </c>
      <c r="B71" s="7">
        <v>10.0</v>
      </c>
      <c r="C71" s="8" t="str">
        <f>DATE(DADOS!$A71,DADOS!$B71,1)</f>
        <v>10/1/2024</v>
      </c>
      <c r="D71" s="7">
        <v>428.0</v>
      </c>
      <c r="E71" s="7">
        <v>2579.39</v>
      </c>
      <c r="F71" s="7">
        <v>3204070.0</v>
      </c>
      <c r="G71" s="9"/>
      <c r="H71" s="7">
        <v>12.0</v>
      </c>
      <c r="I71" s="7">
        <v>3.71561</v>
      </c>
      <c r="J71" s="7">
        <v>3.984498555823846</v>
      </c>
      <c r="K71" s="7">
        <v>1.0</v>
      </c>
    </row>
    <row r="72" ht="22.5" customHeight="1">
      <c r="A72" s="7">
        <v>2024.0</v>
      </c>
      <c r="B72" s="7">
        <v>11.0</v>
      </c>
      <c r="C72" s="8" t="str">
        <f>DATE(DADOS!$A72,DADOS!$B72,1)</f>
        <v>11/1/2024</v>
      </c>
      <c r="D72" s="7">
        <v>368.0</v>
      </c>
      <c r="E72" s="7">
        <v>2579.39</v>
      </c>
      <c r="F72" s="7">
        <v>3204070.0</v>
      </c>
      <c r="G72" s="9"/>
      <c r="H72" s="7">
        <v>12.0</v>
      </c>
      <c r="I72" s="7">
        <v>3.66252</v>
      </c>
      <c r="J72" s="7">
        <v>3.9123095083220427</v>
      </c>
      <c r="K72" s="7">
        <v>1.0</v>
      </c>
    </row>
    <row r="73" ht="22.5" customHeight="1">
      <c r="A73" s="7">
        <v>2024.0</v>
      </c>
      <c r="B73" s="7">
        <v>12.0</v>
      </c>
      <c r="C73" s="8" t="str">
        <f>DATE(DADOS!$A73,DADOS!$B73,1)</f>
        <v>12/1/2024</v>
      </c>
      <c r="D73" s="7">
        <v>607.0</v>
      </c>
      <c r="E73" s="7">
        <v>2579.39</v>
      </c>
      <c r="F73" s="7">
        <v>3204070.0</v>
      </c>
      <c r="G73" s="9"/>
      <c r="H73" s="7">
        <v>12.0</v>
      </c>
      <c r="I73" s="7">
        <v>3.76972</v>
      </c>
      <c r="J73" s="7">
        <v>4.005990472727273</v>
      </c>
      <c r="K73" s="7">
        <v>1.0</v>
      </c>
    </row>
    <row r="74" ht="22.5" customHeight="1">
      <c r="A74" s="7">
        <v>2025.0</v>
      </c>
      <c r="B74" s="7">
        <v>1.0</v>
      </c>
      <c r="C74" s="8" t="str">
        <f>DATE(DADOS!$A74,DADOS!$B74,1)</f>
        <v>1/1/2025</v>
      </c>
      <c r="D74" s="7">
        <v>583.0</v>
      </c>
      <c r="E74" s="9"/>
      <c r="F74" s="9"/>
      <c r="G74" s="9"/>
      <c r="H74" s="7">
        <v>12.0</v>
      </c>
      <c r="I74" s="7">
        <v>3.94139</v>
      </c>
      <c r="J74" s="7">
        <v>4.1817297425286775</v>
      </c>
      <c r="K74" s="7">
        <v>1.0</v>
      </c>
    </row>
    <row r="75" ht="22.5" customHeight="1">
      <c r="A75" s="7">
        <v>2025.0</v>
      </c>
      <c r="B75" s="7">
        <v>2.0</v>
      </c>
      <c r="C75" s="8" t="str">
        <f>DATE(DADOS!$A75,DADOS!$B75,1)</f>
        <v>2/1/2025</v>
      </c>
      <c r="D75" s="7">
        <v>550.0</v>
      </c>
      <c r="E75" s="9"/>
      <c r="F75" s="9"/>
      <c r="G75" s="9"/>
      <c r="H75" s="7">
        <v>12.0</v>
      </c>
      <c r="I75" s="7">
        <v>4.32445</v>
      </c>
      <c r="J75" s="7">
        <v>4.528817674388587</v>
      </c>
      <c r="K75" s="7">
        <v>1.0</v>
      </c>
    </row>
    <row r="76" ht="22.5" customHeight="1">
      <c r="A76" s="7">
        <v>2025.0</v>
      </c>
      <c r="B76" s="7">
        <v>3.0</v>
      </c>
      <c r="C76" s="8" t="str">
        <f>DATE(DADOS!$A76,DADOS!$B76,1)</f>
        <v>3/1/2025</v>
      </c>
      <c r="D76" s="7">
        <v>580.0</v>
      </c>
      <c r="E76" s="9"/>
      <c r="F76" s="9"/>
      <c r="G76" s="9"/>
      <c r="H76" s="7">
        <v>12.0</v>
      </c>
      <c r="I76" s="7">
        <v>4.08082</v>
      </c>
      <c r="J76" s="7">
        <v>4.24987367599767</v>
      </c>
      <c r="K76" s="7">
        <v>1.0</v>
      </c>
    </row>
    <row r="77" ht="22.5" customHeight="1">
      <c r="A77" s="7">
        <v>2025.0</v>
      </c>
      <c r="B77" s="7">
        <v>4.0</v>
      </c>
      <c r="C77" s="8" t="str">
        <f>DATE(DADOS!$A77,DADOS!$B77,1)</f>
        <v>4/1/2025</v>
      </c>
      <c r="D77" s="7">
        <v>522.0</v>
      </c>
      <c r="E77" s="9"/>
      <c r="F77" s="9"/>
      <c r="G77" s="9"/>
      <c r="H77" s="7">
        <v>12.0</v>
      </c>
      <c r="I77" s="7">
        <v>3.75203</v>
      </c>
      <c r="J77" s="7">
        <v>3.8907303369321133</v>
      </c>
      <c r="K77" s="7">
        <v>1.0</v>
      </c>
    </row>
    <row r="78" ht="22.5" customHeight="1">
      <c r="A78" s="7">
        <v>2025.0</v>
      </c>
      <c r="B78" s="7">
        <v>5.0</v>
      </c>
      <c r="C78" s="8" t="str">
        <f>DATE(DADOS!$A78,DADOS!$B78,1)</f>
        <v>5/1/2025</v>
      </c>
      <c r="D78" s="7">
        <v>598.0</v>
      </c>
      <c r="E78" s="9"/>
      <c r="F78" s="9"/>
      <c r="G78" s="9"/>
      <c r="H78" s="7">
        <v>12.0</v>
      </c>
      <c r="I78" s="7">
        <v>3.73178</v>
      </c>
      <c r="J78" s="7">
        <v>3.8596960223755596</v>
      </c>
      <c r="K78" s="7">
        <v>1.0</v>
      </c>
    </row>
    <row r="79" ht="22.5" customHeight="1">
      <c r="A79" s="7">
        <v>2025.0</v>
      </c>
      <c r="B79" s="7">
        <v>6.0</v>
      </c>
      <c r="C79" s="8" t="str">
        <f>DATE(DADOS!$A79,DADOS!$B79,1)</f>
        <v>6/1/2025</v>
      </c>
      <c r="D79" s="7">
        <v>594.0</v>
      </c>
      <c r="E79" s="9"/>
      <c r="F79" s="9"/>
      <c r="G79" s="9"/>
      <c r="H79" s="7">
        <v>12.0</v>
      </c>
      <c r="I79" s="7">
        <v>3.51021</v>
      </c>
      <c r="J79" s="7">
        <v>3.6218383039038855</v>
      </c>
      <c r="K79" s="7">
        <v>1.0</v>
      </c>
    </row>
    <row r="80" ht="22.5" customHeight="1">
      <c r="A80" s="7">
        <v>2025.0</v>
      </c>
      <c r="B80" s="7">
        <v>7.0</v>
      </c>
      <c r="C80" s="8" t="str">
        <f>DATE(DADOS!$A80,DADOS!$B80,1)</f>
        <v>7/1/2025</v>
      </c>
      <c r="D80" s="7">
        <v>698.0</v>
      </c>
      <c r="E80" s="9"/>
      <c r="F80" s="9"/>
      <c r="G80" s="9"/>
      <c r="H80" s="7">
        <v>12.0</v>
      </c>
      <c r="I80" s="7">
        <v>3.53514</v>
      </c>
      <c r="J80" s="7">
        <v>3.6381038851988143</v>
      </c>
      <c r="K80" s="7">
        <v>1.0</v>
      </c>
    </row>
    <row r="81" ht="22.5" customHeight="1">
      <c r="A81" s="7">
        <v>2025.0</v>
      </c>
      <c r="B81" s="7">
        <v>8.0</v>
      </c>
      <c r="C81" s="8" t="str">
        <f>DATE(DADOS!$A81,DADOS!$B81,1)</f>
        <v>8/1/2025</v>
      </c>
      <c r="D81" s="7">
        <v>645.0</v>
      </c>
      <c r="E81" s="9"/>
      <c r="F81" s="9"/>
      <c r="G81" s="9"/>
      <c r="H81" s="7">
        <v>12.0</v>
      </c>
      <c r="I81" s="7">
        <v>3.67885</v>
      </c>
      <c r="J81" s="7">
        <v>3.790171239201465</v>
      </c>
      <c r="K81" s="7">
        <v>1.0</v>
      </c>
    </row>
    <row r="82" ht="22.5" customHeight="1">
      <c r="A82" s="7">
        <v>2025.0</v>
      </c>
      <c r="B82" s="7">
        <v>9.0</v>
      </c>
      <c r="C82" s="8" t="str">
        <f>DATE(DADOS!$A82,DADOS!$B82,1)</f>
        <v>9/1/2025</v>
      </c>
      <c r="D82" s="7">
        <v>741.0</v>
      </c>
      <c r="E82" s="9"/>
      <c r="F82" s="9"/>
      <c r="G82" s="9"/>
      <c r="H82" s="7">
        <v>12.0</v>
      </c>
      <c r="I82" s="7">
        <v>3.57641</v>
      </c>
      <c r="J82" s="7">
        <v>3.6670320594342214</v>
      </c>
      <c r="K82" s="7">
        <v>1.0</v>
      </c>
    </row>
    <row r="83" ht="22.5" customHeight="1">
      <c r="A83" s="7">
        <v>2025.0</v>
      </c>
      <c r="B83" s="7">
        <v>10.0</v>
      </c>
      <c r="C83" s="8" t="str">
        <f>DATE(DADOS!$A83,DADOS!$B83,1)</f>
        <v>10/1/2025</v>
      </c>
      <c r="D83" s="7">
        <v>626.0</v>
      </c>
      <c r="E83" s="9"/>
      <c r="F83" s="9"/>
      <c r="G83" s="9"/>
      <c r="H83" s="7">
        <v>12.0</v>
      </c>
      <c r="I83" s="7">
        <v>3.58344</v>
      </c>
      <c r="J83" s="7">
        <v>3.6709379206264727</v>
      </c>
      <c r="K83" s="7">
        <v>1.0</v>
      </c>
    </row>
    <row r="84" ht="22.5" customHeight="1">
      <c r="A84" s="7">
        <v>2025.0</v>
      </c>
      <c r="B84" s="7">
        <v>11.0</v>
      </c>
      <c r="C84" s="8" t="str">
        <f>DATE(DADOS!$A84,DADOS!$B84,1)</f>
        <v>11/1/2025</v>
      </c>
      <c r="D84" s="7">
        <v>501.0</v>
      </c>
      <c r="E84" s="9"/>
      <c r="F84" s="9"/>
      <c r="G84" s="9"/>
      <c r="H84" s="7">
        <v>12.0</v>
      </c>
      <c r="I84" s="7">
        <v>3.62173</v>
      </c>
      <c r="J84" s="7">
        <v>3.703495673755309</v>
      </c>
      <c r="K84" s="7">
        <v>1.0</v>
      </c>
    </row>
    <row r="85" ht="22.5" customHeight="1">
      <c r="A85" s="7">
        <v>2025.0</v>
      </c>
      <c r="B85" s="7">
        <v>12.0</v>
      </c>
      <c r="C85" s="8" t="str">
        <f>DATE(DADOS!$A85,DADOS!$B85,1)</f>
        <v>12/1/2025</v>
      </c>
      <c r="D85" s="7">
        <v>411.0</v>
      </c>
      <c r="E85" s="9"/>
      <c r="F85" s="9"/>
      <c r="G85" s="9"/>
      <c r="H85" s="7">
        <v>12.0</v>
      </c>
      <c r="I85" s="7">
        <v>3.76103</v>
      </c>
      <c r="J85" s="7">
        <v>3.833290968731469</v>
      </c>
      <c r="K85" s="7">
        <v>1.0</v>
      </c>
    </row>
    <row r="86" ht="22.5" customHeight="1">
      <c r="A86" s="7">
        <v>2026.0</v>
      </c>
      <c r="B86" s="7">
        <v>1.0</v>
      </c>
      <c r="C86" s="8" t="str">
        <f>DATE(DADOS!$A86,DADOS!$B86,1)</f>
        <v>1/1/2026</v>
      </c>
      <c r="D86" s="7">
        <v>386.0</v>
      </c>
      <c r="E86" s="9"/>
      <c r="F86" s="9"/>
      <c r="G86" s="7">
        <v>492.0</v>
      </c>
      <c r="H86" s="7">
        <v>12.0</v>
      </c>
      <c r="I86" s="7">
        <v>3.47703</v>
      </c>
      <c r="J86" s="7">
        <v>3.5321786733883345</v>
      </c>
      <c r="K86" s="7">
        <v>1.0</v>
      </c>
    </row>
    <row r="87" ht="22.5" customHeight="1">
      <c r="A87" s="7">
        <v>2026.0</v>
      </c>
      <c r="B87" s="7">
        <v>2.0</v>
      </c>
      <c r="C87" s="8" t="str">
        <f>DATE(DADOS!$A87,DADOS!$B87,1)</f>
        <v>2/1/2026</v>
      </c>
      <c r="D87" s="7">
        <v>406.0</v>
      </c>
      <c r="E87" s="9"/>
      <c r="F87" s="9"/>
      <c r="G87" s="7">
        <v>492.0</v>
      </c>
      <c r="H87" s="7">
        <v>12.0</v>
      </c>
      <c r="I87" s="7">
        <v>3.41284</v>
      </c>
      <c r="J87" s="7">
        <v>3.4428723313069622</v>
      </c>
      <c r="K87" s="7">
        <v>1.0</v>
      </c>
    </row>
    <row r="88" ht="22.5" customHeight="1">
      <c r="A88" s="7">
        <v>2026.0</v>
      </c>
      <c r="B88" s="7">
        <v>3.0</v>
      </c>
      <c r="C88" s="8" t="str">
        <f>DATE(DADOS!$A88,DADOS!$B88,1)</f>
        <v>3/1/2026</v>
      </c>
      <c r="D88" s="7">
        <v>589.0</v>
      </c>
      <c r="E88" s="9"/>
      <c r="F88" s="9"/>
      <c r="G88" s="7">
        <v>492.0</v>
      </c>
      <c r="H88" s="7">
        <v>12.0</v>
      </c>
      <c r="I88" s="7">
        <v>3.65865</v>
      </c>
      <c r="J88" s="7">
        <v>3.65865</v>
      </c>
      <c r="K88" s="7">
        <v>1.0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custom" allowBlank="1" showDropDown="1" sqref="A2:D88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2.75" customHeight="1">
      <c r="A1" s="10"/>
      <c r="B1" s="10" t="s">
        <v>54</v>
      </c>
      <c r="C1" s="10" t="s">
        <v>4</v>
      </c>
      <c r="D1" s="10" t="s">
        <v>7</v>
      </c>
      <c r="E1" s="10" t="s">
        <v>10</v>
      </c>
      <c r="F1" s="10" t="s">
        <v>12</v>
      </c>
      <c r="G1" s="10" t="s">
        <v>15</v>
      </c>
      <c r="H1" s="10" t="s">
        <v>18</v>
      </c>
      <c r="I1" s="10" t="s">
        <v>23</v>
      </c>
    </row>
    <row r="2" ht="12.75" customHeight="1">
      <c r="A2" t="s">
        <v>54</v>
      </c>
      <c r="B2">
        <v>1.0</v>
      </c>
    </row>
    <row r="3" ht="12.75" customHeight="1">
      <c r="A3" t="s">
        <v>4</v>
      </c>
      <c r="B3">
        <v>-0.040536514999742</v>
      </c>
      <c r="C3">
        <v>1.0</v>
      </c>
    </row>
    <row r="4" ht="12.75" customHeight="1">
      <c r="A4" t="s">
        <v>7</v>
      </c>
      <c r="B4">
        <v>0.9820080868012468</v>
      </c>
      <c r="C4">
        <v>-0.5042065454376974</v>
      </c>
      <c r="D4">
        <v>1.0</v>
      </c>
    </row>
    <row r="5" ht="12.75" customHeight="1">
      <c r="A5" t="s">
        <v>10</v>
      </c>
      <c r="B5">
        <v>0.9860511024680643</v>
      </c>
      <c r="C5">
        <v>-0.10708060872493014</v>
      </c>
      <c r="D5">
        <v>0.9923543013252268</v>
      </c>
      <c r="E5">
        <v>1.0</v>
      </c>
    </row>
    <row r="6" ht="12.75" customHeight="1">
      <c r="A6" t="s">
        <v>12</v>
      </c>
      <c r="B6" t="e">
        <v>#DIV/0!</v>
      </c>
      <c r="C6" t="e">
        <v>#DIV/0!</v>
      </c>
      <c r="D6" t="e">
        <v>#DIV/0!</v>
      </c>
      <c r="E6" t="e">
        <v>#DIV/0!</v>
      </c>
      <c r="F6">
        <v>1.0</v>
      </c>
    </row>
    <row r="7" ht="12.75" customHeight="1">
      <c r="A7" t="s">
        <v>15</v>
      </c>
      <c r="B7">
        <v>0.9609558235746806</v>
      </c>
      <c r="C7">
        <v>0.010908193002406365</v>
      </c>
      <c r="D7">
        <v>0.9715644877354994</v>
      </c>
      <c r="E7">
        <v>0.9734441783650398</v>
      </c>
      <c r="F7" t="e">
        <v>#DIV/0!</v>
      </c>
      <c r="G7">
        <v>1.0</v>
      </c>
    </row>
    <row r="8" ht="12.75" customHeight="1">
      <c r="A8" t="s">
        <v>18</v>
      </c>
      <c r="B8">
        <v>-0.5743474055470617</v>
      </c>
      <c r="C8">
        <v>0.18662103638058986</v>
      </c>
      <c r="D8" t="e">
        <v>#DIV/0!</v>
      </c>
      <c r="E8">
        <v>-0.3236264362455602</v>
      </c>
      <c r="F8" t="e">
        <v>#DIV/0!</v>
      </c>
      <c r="G8">
        <v>-0.2359475826838709</v>
      </c>
      <c r="H8">
        <v>1.0</v>
      </c>
    </row>
    <row r="9" ht="12.75" customHeight="1">
      <c r="A9" s="11" t="s">
        <v>23</v>
      </c>
      <c r="B9" s="11">
        <v>0.6543802641827233</v>
      </c>
      <c r="C9" s="11">
        <v>-0.34736655670334554</v>
      </c>
      <c r="D9" s="11">
        <v>0.8734485360357485</v>
      </c>
      <c r="E9" s="11">
        <v>0.6933460424018993</v>
      </c>
      <c r="F9" s="11" t="e">
        <v>#DIV/0!</v>
      </c>
      <c r="G9" s="11">
        <v>0.6609321996612183</v>
      </c>
      <c r="H9" s="11" t="e">
        <v>#DIV/0!</v>
      </c>
      <c r="I9" s="11">
        <v>1.0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conditionalFormatting sqref="B3:B9">
    <cfRule type="colorScale" priority="1">
      <colorScale>
        <cfvo type="formula" val="-1"/>
        <cfvo type="formula" val="0"/>
        <cfvo type="formula" val="1"/>
        <color rgb="FF63BE7B"/>
        <color rgb="FFF8696B"/>
        <color rgb="FF63BE7B"/>
      </colorScale>
    </cfRule>
  </conditionalFormatting>
  <conditionalFormatting sqref="C4:C8">
    <cfRule type="colorScale" priority="2">
      <colorScale>
        <cfvo type="formula" val="-1"/>
        <cfvo type="formula" val="0"/>
        <cfvo type="formula" val="1"/>
        <color rgb="FF63BE7B"/>
        <color rgb="FFF8696B"/>
        <color rgb="FF63BE7B"/>
      </colorScale>
    </cfRule>
  </conditionalFormatting>
  <conditionalFormatting sqref="C9:G9">
    <cfRule type="colorScale" priority="3">
      <colorScale>
        <cfvo type="formula" val="-1"/>
        <cfvo type="formula" val="0"/>
        <cfvo type="formula" val="1"/>
        <color rgb="FF63BE7B"/>
        <color rgb="FFF8696B"/>
        <color rgb="FF63BE7B"/>
      </colorScale>
    </cfRule>
  </conditionalFormatting>
  <conditionalFormatting sqref="D5">
    <cfRule type="colorScale" priority="4">
      <colorScale>
        <cfvo type="formula" val="-1"/>
        <cfvo type="formula" val="0"/>
        <cfvo type="formula" val="1"/>
        <color rgb="FF63BE7B"/>
        <color rgb="FFF8696B"/>
        <color rgb="FF63BE7B"/>
      </colorScale>
    </cfRule>
  </conditionalFormatting>
  <conditionalFormatting sqref="D6:E7">
    <cfRule type="colorScale" priority="5">
      <colorScale>
        <cfvo type="formula" val="-1"/>
        <cfvo type="formula" val="0"/>
        <cfvo type="formula" val="1"/>
        <color rgb="FF63BE7B"/>
        <color rgb="FFF8696B"/>
        <color rgb="FF63BE7B"/>
      </colorScale>
    </cfRule>
  </conditionalFormatting>
  <conditionalFormatting sqref="D8:G8">
    <cfRule type="colorScale" priority="6">
      <colorScale>
        <cfvo type="formula" val="-1"/>
        <cfvo type="formula" val="0"/>
        <cfvo type="formula" val="1"/>
        <color rgb="FF63BE7B"/>
        <color rgb="FFF8696B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14"/>
    <col customWidth="1" min="4" max="4" width="11.71"/>
    <col customWidth="1" min="5" max="24" width="12.57"/>
  </cols>
  <sheetData>
    <row r="1" ht="22.5" customHeight="1">
      <c r="A1" s="6" t="s">
        <v>0</v>
      </c>
      <c r="B1" s="6" t="s">
        <v>2</v>
      </c>
      <c r="C1" s="6" t="s">
        <v>54</v>
      </c>
      <c r="D1" s="6" t="s">
        <v>4</v>
      </c>
    </row>
    <row r="2" ht="22.5" customHeight="1">
      <c r="A2" s="7">
        <v>2019.0</v>
      </c>
      <c r="B2" s="7">
        <v>1.0</v>
      </c>
      <c r="C2" s="8" t="str">
        <f>DATE('MODELO 1'!$A2,'MODELO 1'!$B2,1)</f>
        <v>1/1/2019</v>
      </c>
      <c r="D2" s="7">
        <v>589.0</v>
      </c>
      <c r="F2" t="s">
        <v>55</v>
      </c>
    </row>
    <row r="3" ht="22.5" customHeight="1">
      <c r="A3" s="7">
        <v>2019.0</v>
      </c>
      <c r="B3" s="7">
        <v>2.0</v>
      </c>
      <c r="C3" s="8" t="str">
        <f>DATE('MODELO 1'!$A3,'MODELO 1'!$B3,1)</f>
        <v>2/1/2019</v>
      </c>
      <c r="D3" s="7">
        <v>601.0</v>
      </c>
    </row>
    <row r="4" ht="22.5" customHeight="1">
      <c r="A4" s="7">
        <v>2019.0</v>
      </c>
      <c r="B4" s="7">
        <v>3.0</v>
      </c>
      <c r="C4" s="8" t="str">
        <f>DATE('MODELO 1'!$A4,'MODELO 1'!$B4,1)</f>
        <v>3/1/2019</v>
      </c>
      <c r="D4" s="7">
        <v>579.0</v>
      </c>
      <c r="F4" s="10" t="s">
        <v>56</v>
      </c>
      <c r="G4" s="12"/>
    </row>
    <row r="5" ht="22.5" customHeight="1">
      <c r="A5" s="7">
        <v>2019.0</v>
      </c>
      <c r="B5" s="7">
        <v>4.0</v>
      </c>
      <c r="C5" s="8" t="str">
        <f>DATE('MODELO 1'!$A5,'MODELO 1'!$B5,1)</f>
        <v>4/1/2019</v>
      </c>
      <c r="D5" s="7">
        <v>614.0</v>
      </c>
      <c r="F5" t="s">
        <v>57</v>
      </c>
      <c r="G5">
        <v>0.0405365149997345</v>
      </c>
    </row>
    <row r="6" ht="22.5" customHeight="1">
      <c r="A6" s="7">
        <v>2019.0</v>
      </c>
      <c r="B6" s="7">
        <v>5.0</v>
      </c>
      <c r="C6" s="8" t="str">
        <f>DATE('MODELO 1'!$A6,'MODELO 1'!$B6,1)</f>
        <v>5/1/2019</v>
      </c>
      <c r="D6" s="7">
        <v>670.0</v>
      </c>
      <c r="F6" t="s">
        <v>58</v>
      </c>
      <c r="G6" s="13">
        <v>0.0016432090483237</v>
      </c>
    </row>
    <row r="7" ht="22.5" customHeight="1">
      <c r="A7" s="7">
        <v>2019.0</v>
      </c>
      <c r="B7" s="7">
        <v>6.0</v>
      </c>
      <c r="C7" s="8" t="str">
        <f>DATE('MODELO 1'!$A7,'MODELO 1'!$B7,1)</f>
        <v>6/1/2019</v>
      </c>
      <c r="D7" s="7">
        <v>636.0</v>
      </c>
      <c r="F7" t="s">
        <v>59</v>
      </c>
      <c r="G7" s="13">
        <v>-0.010102164962872492</v>
      </c>
    </row>
    <row r="8" ht="22.5" customHeight="1">
      <c r="A8" s="7">
        <v>2019.0</v>
      </c>
      <c r="B8" s="7">
        <v>7.0</v>
      </c>
      <c r="C8" s="8" t="str">
        <f>DATE('MODELO 1'!$A8,'MODELO 1'!$B8,1)</f>
        <v>7/1/2019</v>
      </c>
      <c r="D8" s="7">
        <v>763.0</v>
      </c>
      <c r="F8" t="s">
        <v>60</v>
      </c>
      <c r="G8">
        <v>106.00768775404318</v>
      </c>
    </row>
    <row r="9" ht="22.5" customHeight="1">
      <c r="A9" s="7">
        <v>2019.0</v>
      </c>
      <c r="B9" s="7">
        <v>8.0</v>
      </c>
      <c r="C9" s="8" t="str">
        <f>DATE('MODELO 1'!$A9,'MODELO 1'!$B9,1)</f>
        <v>8/1/2019</v>
      </c>
      <c r="D9" s="7">
        <v>805.0</v>
      </c>
      <c r="F9" s="11" t="s">
        <v>61</v>
      </c>
      <c r="G9" s="11">
        <v>87.0</v>
      </c>
    </row>
    <row r="10" ht="22.5" customHeight="1">
      <c r="A10" s="7">
        <v>2019.0</v>
      </c>
      <c r="B10" s="7">
        <v>9.0</v>
      </c>
      <c r="C10" s="8" t="str">
        <f>DATE('MODELO 1'!$A10,'MODELO 1'!$B10,1)</f>
        <v>9/1/2019</v>
      </c>
      <c r="D10" s="7">
        <v>612.0</v>
      </c>
    </row>
    <row r="11" ht="22.5" customHeight="1">
      <c r="A11" s="7">
        <v>2019.0</v>
      </c>
      <c r="B11" s="7">
        <v>10.0</v>
      </c>
      <c r="C11" s="8" t="str">
        <f>DATE('MODELO 1'!$A11,'MODELO 1'!$B11,1)</f>
        <v>10/1/2019</v>
      </c>
      <c r="D11" s="7">
        <v>679.0</v>
      </c>
      <c r="F11" t="s">
        <v>62</v>
      </c>
    </row>
    <row r="12" ht="22.5" customHeight="1">
      <c r="A12" s="7">
        <v>2019.0</v>
      </c>
      <c r="B12" s="7">
        <v>11.0</v>
      </c>
      <c r="C12" s="8" t="str">
        <f>DATE('MODELO 1'!$A12,'MODELO 1'!$B12,1)</f>
        <v>11/1/2019</v>
      </c>
      <c r="D12" s="7">
        <v>624.0</v>
      </c>
      <c r="F12" s="10"/>
      <c r="G12" s="10" t="s">
        <v>63</v>
      </c>
      <c r="H12" s="10" t="s">
        <v>64</v>
      </c>
      <c r="I12" s="10" t="s">
        <v>65</v>
      </c>
      <c r="J12" s="10" t="s">
        <v>66</v>
      </c>
      <c r="K12" s="10" t="s">
        <v>67</v>
      </c>
    </row>
    <row r="13" ht="22.5" customHeight="1">
      <c r="A13" s="7">
        <v>2019.0</v>
      </c>
      <c r="B13" s="7">
        <v>12.0</v>
      </c>
      <c r="C13" s="8" t="str">
        <f>DATE('MODELO 1'!$A13,'MODELO 1'!$B13,1)</f>
        <v>12/1/2019</v>
      </c>
      <c r="D13" s="7">
        <v>700.0</v>
      </c>
      <c r="F13" t="s">
        <v>68</v>
      </c>
      <c r="G13">
        <v>1.0</v>
      </c>
      <c r="H13">
        <v>1572.1742921872064</v>
      </c>
      <c r="I13">
        <v>1572.1742921872064</v>
      </c>
      <c r="J13">
        <v>0.1399026584217176</v>
      </c>
      <c r="K13" s="13">
        <v>0.7093092069756779</v>
      </c>
    </row>
    <row r="14" ht="22.5" customHeight="1">
      <c r="A14" s="7">
        <v>2020.0</v>
      </c>
      <c r="B14" s="7">
        <v>1.0</v>
      </c>
      <c r="C14" s="8" t="str">
        <f>DATE('MODELO 1'!$A14,'MODELO 1'!$B14,1)</f>
        <v>1/1/2020</v>
      </c>
      <c r="D14" s="7">
        <v>597.0</v>
      </c>
      <c r="F14" t="s">
        <v>69</v>
      </c>
      <c r="G14">
        <v>85.0</v>
      </c>
      <c r="H14">
        <v>955198.5383514909</v>
      </c>
      <c r="I14">
        <v>11237.629862958716</v>
      </c>
    </row>
    <row r="15" ht="22.5" customHeight="1">
      <c r="A15" s="7">
        <v>2020.0</v>
      </c>
      <c r="B15" s="7">
        <v>2.0</v>
      </c>
      <c r="C15" s="8" t="str">
        <f>DATE('MODELO 1'!$A15,'MODELO 1'!$B15,1)</f>
        <v>2/1/2020</v>
      </c>
      <c r="D15" s="7">
        <v>526.0</v>
      </c>
      <c r="F15" s="11" t="s">
        <v>70</v>
      </c>
      <c r="G15" s="11">
        <v>86.0</v>
      </c>
      <c r="H15" s="11">
        <v>956770.7126436781</v>
      </c>
      <c r="I15" s="11"/>
      <c r="J15" s="11"/>
      <c r="K15" s="11"/>
    </row>
    <row r="16" ht="22.5" customHeight="1">
      <c r="A16" s="7">
        <v>2020.0</v>
      </c>
      <c r="B16" s="7">
        <v>3.0</v>
      </c>
      <c r="C16" s="8" t="str">
        <f>DATE('MODELO 1'!$A16,'MODELO 1'!$B16,1)</f>
        <v>3/1/2020</v>
      </c>
      <c r="D16" s="7">
        <v>563.0</v>
      </c>
    </row>
    <row r="17" ht="22.5" customHeight="1">
      <c r="A17" s="7">
        <v>2020.0</v>
      </c>
      <c r="B17" s="7">
        <v>4.0</v>
      </c>
      <c r="C17" s="8" t="str">
        <f>DATE('MODELO 1'!$A17,'MODELO 1'!$B17,1)</f>
        <v>4/1/2020</v>
      </c>
      <c r="D17" s="7">
        <v>340.0</v>
      </c>
      <c r="F17" s="10"/>
      <c r="G17" s="10" t="s">
        <v>71</v>
      </c>
      <c r="H17" s="10" t="s">
        <v>60</v>
      </c>
      <c r="I17" s="10" t="s">
        <v>72</v>
      </c>
      <c r="J17" s="10" t="s">
        <v>73</v>
      </c>
      <c r="K17" s="10" t="s">
        <v>74</v>
      </c>
      <c r="L17" s="10" t="s">
        <v>75</v>
      </c>
      <c r="M17" s="10" t="s">
        <v>76</v>
      </c>
      <c r="N17" s="10" t="s">
        <v>77</v>
      </c>
    </row>
    <row r="18" ht="22.5" customHeight="1">
      <c r="A18" s="7">
        <v>2020.0</v>
      </c>
      <c r="B18" s="7">
        <v>5.0</v>
      </c>
      <c r="C18" s="8" t="str">
        <f>DATE('MODELO 1'!$A18,'MODELO 1'!$B18,1)</f>
        <v>5/1/2020</v>
      </c>
      <c r="D18" s="7">
        <v>448.0</v>
      </c>
      <c r="F18" t="s">
        <v>78</v>
      </c>
      <c r="G18">
        <v>806.3684447766447</v>
      </c>
      <c r="H18">
        <v>665.7492031382044</v>
      </c>
      <c r="I18">
        <v>1.211219541796806</v>
      </c>
      <c r="J18">
        <v>0.2291680147485606</v>
      </c>
      <c r="K18">
        <v>-517.319330251583</v>
      </c>
      <c r="L18">
        <v>2130.0562198048724</v>
      </c>
      <c r="M18">
        <v>-517.319330251583</v>
      </c>
      <c r="N18">
        <v>2130.0562198048724</v>
      </c>
    </row>
    <row r="19" ht="22.5" customHeight="1">
      <c r="A19" s="7">
        <v>2020.0</v>
      </c>
      <c r="B19" s="7">
        <v>6.0</v>
      </c>
      <c r="C19" s="8" t="str">
        <f>DATE('MODELO 1'!$A19,'MODELO 1'!$B19,1)</f>
        <v>6/1/2020</v>
      </c>
      <c r="D19" s="7">
        <v>486.0</v>
      </c>
      <c r="F19" s="11" t="s">
        <v>54</v>
      </c>
      <c r="G19" s="11">
        <v>-0.005560731006848425</v>
      </c>
      <c r="H19" s="11">
        <v>0.014866848084366849</v>
      </c>
      <c r="I19" s="11">
        <v>-0.3740356379033549</v>
      </c>
      <c r="J19" s="14">
        <v>0.7093092069756264</v>
      </c>
      <c r="K19" s="11">
        <v>-0.035120007938334294</v>
      </c>
      <c r="L19" s="11">
        <v>0.023998545924637443</v>
      </c>
      <c r="M19" s="11">
        <v>-0.035120007938334294</v>
      </c>
      <c r="N19" s="11">
        <v>0.023998545924637443</v>
      </c>
    </row>
    <row r="20" ht="22.5" customHeight="1">
      <c r="A20" s="7">
        <v>2020.0</v>
      </c>
      <c r="B20" s="7">
        <v>7.0</v>
      </c>
      <c r="C20" s="8" t="str">
        <f>DATE('MODELO 1'!$A20,'MODELO 1'!$B20,1)</f>
        <v>7/1/2020</v>
      </c>
      <c r="D20" s="7">
        <v>517.0</v>
      </c>
    </row>
    <row r="21" ht="22.5" customHeight="1">
      <c r="A21" s="7">
        <v>2020.0</v>
      </c>
      <c r="B21" s="7">
        <v>8.0</v>
      </c>
      <c r="C21" s="8" t="str">
        <f>DATE('MODELO 1'!$A21,'MODELO 1'!$B21,1)</f>
        <v>8/1/2020</v>
      </c>
      <c r="D21" s="7">
        <v>402.0</v>
      </c>
    </row>
    <row r="22" ht="22.5" customHeight="1">
      <c r="A22" s="7">
        <v>2020.0</v>
      </c>
      <c r="B22" s="7">
        <v>9.0</v>
      </c>
      <c r="C22" s="8" t="str">
        <f>DATE('MODELO 1'!$A22,'MODELO 1'!$B22,1)</f>
        <v>9/1/2020</v>
      </c>
      <c r="D22" s="7">
        <v>406.0</v>
      </c>
    </row>
    <row r="23" ht="22.5" customHeight="1">
      <c r="A23" s="7">
        <v>2020.0</v>
      </c>
      <c r="B23" s="7">
        <v>10.0</v>
      </c>
      <c r="C23" s="8" t="str">
        <f>DATE('MODELO 1'!$A23,'MODELO 1'!$B23,1)</f>
        <v>10/1/2020</v>
      </c>
      <c r="D23" s="7">
        <v>456.0</v>
      </c>
      <c r="F23" t="s">
        <v>79</v>
      </c>
      <c r="K23" t="s">
        <v>80</v>
      </c>
    </row>
    <row r="24" ht="22.5" customHeight="1">
      <c r="A24" s="7">
        <v>2020.0</v>
      </c>
      <c r="B24" s="7">
        <v>11.0</v>
      </c>
      <c r="C24" s="8" t="str">
        <f>DATE('MODELO 1'!$A24,'MODELO 1'!$B24,1)</f>
        <v>11/1/2020</v>
      </c>
      <c r="D24" s="7">
        <v>417.0</v>
      </c>
    </row>
    <row r="25" ht="22.5" customHeight="1">
      <c r="A25" s="7">
        <v>2020.0</v>
      </c>
      <c r="B25" s="7">
        <v>12.0</v>
      </c>
      <c r="C25" s="8" t="str">
        <f>DATE('MODELO 1'!$A25,'MODELO 1'!$B25,1)</f>
        <v>12/1/2020</v>
      </c>
      <c r="D25" s="7">
        <v>490.0</v>
      </c>
      <c r="F25" s="10" t="s">
        <v>81</v>
      </c>
      <c r="G25" s="10" t="s">
        <v>82</v>
      </c>
      <c r="H25" s="10" t="s">
        <v>83</v>
      </c>
      <c r="I25" s="10" t="s">
        <v>84</v>
      </c>
      <c r="K25" s="10" t="s">
        <v>85</v>
      </c>
      <c r="L25" s="10" t="s">
        <v>4</v>
      </c>
    </row>
    <row r="26" ht="22.5" customHeight="1">
      <c r="A26" s="7">
        <v>2021.0</v>
      </c>
      <c r="B26" s="7">
        <v>1.0</v>
      </c>
      <c r="C26" s="8" t="str">
        <f>DATE('MODELO 1'!$A26,'MODELO 1'!$B26,1)</f>
        <v>1/1/2021</v>
      </c>
      <c r="D26" s="7">
        <v>401.0</v>
      </c>
      <c r="F26">
        <v>1.0</v>
      </c>
      <c r="G26">
        <v>564.6657108329711</v>
      </c>
      <c r="H26">
        <v>24.334289167028942</v>
      </c>
      <c r="I26">
        <v>0.23089847550744935</v>
      </c>
      <c r="K26">
        <v>0.5747126436781609</v>
      </c>
      <c r="L26">
        <v>340.0</v>
      </c>
    </row>
    <row r="27" ht="22.5" customHeight="1">
      <c r="A27" s="7">
        <v>2021.0</v>
      </c>
      <c r="B27" s="7">
        <v>2.0</v>
      </c>
      <c r="C27" s="8" t="str">
        <f>DATE('MODELO 1'!$A27,'MODELO 1'!$B27,1)</f>
        <v>2/1/2021</v>
      </c>
      <c r="D27" s="7">
        <v>422.0</v>
      </c>
      <c r="F27">
        <v>2.0</v>
      </c>
      <c r="G27">
        <v>564.4933281717588</v>
      </c>
      <c r="H27">
        <v>36.506671828241224</v>
      </c>
      <c r="I27">
        <v>0.34639741531520624</v>
      </c>
      <c r="K27">
        <v>1.7241379310344827</v>
      </c>
      <c r="L27">
        <v>368.0</v>
      </c>
    </row>
    <row r="28" ht="22.5" customHeight="1">
      <c r="A28" s="7">
        <v>2021.0</v>
      </c>
      <c r="B28" s="7">
        <v>3.0</v>
      </c>
      <c r="C28" s="8" t="str">
        <f>DATE('MODELO 1'!$A28,'MODELO 1'!$B28,1)</f>
        <v>3/1/2021</v>
      </c>
      <c r="D28" s="7">
        <v>485.0</v>
      </c>
      <c r="F28">
        <v>3.0</v>
      </c>
      <c r="G28">
        <v>564.337627703567</v>
      </c>
      <c r="H28">
        <v>14.662372296432977</v>
      </c>
      <c r="I28">
        <v>0.13912546971604775</v>
      </c>
      <c r="K28">
        <v>2.8735632183908044</v>
      </c>
      <c r="L28">
        <v>386.0</v>
      </c>
    </row>
    <row r="29" ht="22.5" customHeight="1">
      <c r="A29" s="7">
        <v>2021.0</v>
      </c>
      <c r="B29" s="7">
        <v>4.0</v>
      </c>
      <c r="C29" s="8" t="str">
        <f>DATE('MODELO 1'!$A29,'MODELO 1'!$B29,1)</f>
        <v>4/1/2021</v>
      </c>
      <c r="D29" s="7">
        <v>432.0</v>
      </c>
      <c r="F29">
        <v>4.0</v>
      </c>
      <c r="G29">
        <v>564.1652450423546</v>
      </c>
      <c r="H29">
        <v>49.83475495764537</v>
      </c>
      <c r="I29">
        <v>0.4728623412019938</v>
      </c>
      <c r="K29">
        <v>4.022988505747126</v>
      </c>
      <c r="L29">
        <v>390.0</v>
      </c>
    </row>
    <row r="30" ht="22.5" customHeight="1">
      <c r="A30" s="7">
        <v>2021.0</v>
      </c>
      <c r="B30" s="7">
        <v>5.0</v>
      </c>
      <c r="C30" s="8" t="str">
        <f>DATE('MODELO 1'!$A30,'MODELO 1'!$B30,1)</f>
        <v>5/1/2021</v>
      </c>
      <c r="D30" s="7">
        <v>412.0</v>
      </c>
      <c r="F30">
        <v>5.0</v>
      </c>
      <c r="G30">
        <v>563.9984231121492</v>
      </c>
      <c r="H30">
        <v>106.00157688785077</v>
      </c>
      <c r="I30">
        <v>1.0058071693317818</v>
      </c>
      <c r="K30">
        <v>5.172413793103448</v>
      </c>
      <c r="L30">
        <v>401.0</v>
      </c>
    </row>
    <row r="31" ht="22.5" customHeight="1">
      <c r="A31" s="7">
        <v>2021.0</v>
      </c>
      <c r="B31" s="7">
        <v>6.0</v>
      </c>
      <c r="C31" s="8" t="str">
        <f>DATE('MODELO 1'!$A31,'MODELO 1'!$B31,1)</f>
        <v>6/1/2021</v>
      </c>
      <c r="D31" s="7">
        <v>549.0</v>
      </c>
      <c r="F31">
        <v>6.0</v>
      </c>
      <c r="G31">
        <v>563.826040450937</v>
      </c>
      <c r="H31">
        <v>72.17395954906306</v>
      </c>
      <c r="I31">
        <v>0.6848302457831624</v>
      </c>
      <c r="K31">
        <v>6.321839080459769</v>
      </c>
      <c r="L31">
        <v>402.0</v>
      </c>
    </row>
    <row r="32" ht="22.5" customHeight="1">
      <c r="A32" s="7">
        <v>2021.0</v>
      </c>
      <c r="B32" s="7">
        <v>7.0</v>
      </c>
      <c r="C32" s="8" t="str">
        <f>DATE('MODELO 1'!$A32,'MODELO 1'!$B32,1)</f>
        <v>7/1/2021</v>
      </c>
      <c r="D32" s="7">
        <v>527.0</v>
      </c>
      <c r="F32">
        <v>7.0</v>
      </c>
      <c r="G32">
        <v>563.6592185207314</v>
      </c>
      <c r="H32">
        <v>199.34078147926857</v>
      </c>
      <c r="I32">
        <v>1.8914660803977932</v>
      </c>
      <c r="K32">
        <v>7.471264367816092</v>
      </c>
      <c r="L32">
        <v>403.0</v>
      </c>
    </row>
    <row r="33" ht="22.5" customHeight="1">
      <c r="A33" s="7">
        <v>2021.0</v>
      </c>
      <c r="B33" s="7">
        <v>8.0</v>
      </c>
      <c r="C33" s="8" t="str">
        <f>DATE('MODELO 1'!$A33,'MODELO 1'!$B33,1)</f>
        <v>8/1/2021</v>
      </c>
      <c r="D33" s="7">
        <v>631.0</v>
      </c>
      <c r="F33">
        <v>8.0</v>
      </c>
      <c r="G33">
        <v>563.4868358595191</v>
      </c>
      <c r="H33">
        <v>241.51316414048085</v>
      </c>
      <c r="I33">
        <v>2.2916231919597085</v>
      </c>
      <c r="K33">
        <v>8.620689655172413</v>
      </c>
      <c r="L33">
        <v>406.0</v>
      </c>
    </row>
    <row r="34" ht="22.5" customHeight="1">
      <c r="A34" s="7">
        <v>2021.0</v>
      </c>
      <c r="B34" s="7">
        <v>9.0</v>
      </c>
      <c r="C34" s="8" t="str">
        <f>DATE('MODELO 1'!$A34,'MODELO 1'!$B34,1)</f>
        <v>9/1/2021</v>
      </c>
      <c r="D34" s="7">
        <v>599.0</v>
      </c>
      <c r="F34">
        <v>9.0</v>
      </c>
      <c r="G34">
        <v>563.3144531983069</v>
      </c>
      <c r="H34">
        <v>48.685546801693135</v>
      </c>
      <c r="I34">
        <v>0.46195795811404944</v>
      </c>
      <c r="K34">
        <v>9.770114942528735</v>
      </c>
      <c r="L34">
        <v>406.0</v>
      </c>
    </row>
    <row r="35" ht="22.5" customHeight="1">
      <c r="A35" s="7">
        <v>2021.0</v>
      </c>
      <c r="B35" s="7">
        <v>10.0</v>
      </c>
      <c r="C35" s="8" t="str">
        <f>DATE('MODELO 1'!$A35,'MODELO 1'!$B35,1)</f>
        <v>10/1/2021</v>
      </c>
      <c r="D35" s="7">
        <v>557.0</v>
      </c>
      <c r="F35">
        <v>10.0</v>
      </c>
      <c r="G35">
        <v>563.1476312681013</v>
      </c>
      <c r="H35">
        <v>115.85236873189865</v>
      </c>
      <c r="I35">
        <v>1.0992774492203632</v>
      </c>
      <c r="K35">
        <v>10.919540229885058</v>
      </c>
      <c r="L35">
        <v>411.0</v>
      </c>
    </row>
    <row r="36" ht="22.5" customHeight="1">
      <c r="A36" s="7">
        <v>2021.0</v>
      </c>
      <c r="B36" s="7">
        <v>11.0</v>
      </c>
      <c r="C36" s="8" t="str">
        <f>DATE('MODELO 1'!$A36,'MODELO 1'!$B36,1)</f>
        <v>11/1/2021</v>
      </c>
      <c r="D36" s="7">
        <v>613.0</v>
      </c>
      <c r="F36">
        <v>11.0</v>
      </c>
      <c r="G36">
        <v>562.9752486068891</v>
      </c>
      <c r="H36">
        <v>61.02475139311093</v>
      </c>
      <c r="I36">
        <v>0.579039805443833</v>
      </c>
      <c r="K36">
        <v>12.068965517241379</v>
      </c>
      <c r="L36">
        <v>412.0</v>
      </c>
    </row>
    <row r="37" ht="22.5" customHeight="1">
      <c r="A37" s="7">
        <v>2021.0</v>
      </c>
      <c r="B37" s="7">
        <v>12.0</v>
      </c>
      <c r="C37" s="8" t="str">
        <f>DATE('MODELO 1'!$A37,'MODELO 1'!$B37,1)</f>
        <v>12/1/2021</v>
      </c>
      <c r="D37" s="7">
        <v>733.0</v>
      </c>
      <c r="F37">
        <v>12.0</v>
      </c>
      <c r="G37">
        <v>562.8084266766837</v>
      </c>
      <c r="H37">
        <v>137.19157332331633</v>
      </c>
      <c r="I37">
        <v>1.3017567480763932</v>
      </c>
      <c r="K37">
        <v>13.2183908045977</v>
      </c>
      <c r="L37">
        <v>417.0</v>
      </c>
    </row>
    <row r="38" ht="22.5" customHeight="1">
      <c r="A38" s="7">
        <v>2022.0</v>
      </c>
      <c r="B38" s="7">
        <v>1.0</v>
      </c>
      <c r="C38" s="8" t="str">
        <f>DATE('MODELO 1'!$A38,'MODELO 1'!$B38,1)</f>
        <v>1/1/2022</v>
      </c>
      <c r="D38" s="7">
        <v>390.0</v>
      </c>
      <c r="F38">
        <v>13.0</v>
      </c>
      <c r="G38">
        <v>562.6360440154714</v>
      </c>
      <c r="H38">
        <v>34.363955984528616</v>
      </c>
      <c r="I38">
        <v>0.32606602949320956</v>
      </c>
      <c r="K38">
        <v>14.367816091954023</v>
      </c>
      <c r="L38">
        <v>422.0</v>
      </c>
    </row>
    <row r="39" ht="22.5" customHeight="1">
      <c r="A39" s="7">
        <v>2022.0</v>
      </c>
      <c r="B39" s="7">
        <v>2.0</v>
      </c>
      <c r="C39" s="8" t="str">
        <f>DATE('MODELO 1'!$A39,'MODELO 1'!$B39,1)</f>
        <v>2/1/2022</v>
      </c>
      <c r="D39" s="7">
        <v>481.0</v>
      </c>
      <c r="F39">
        <v>14.0</v>
      </c>
      <c r="G39">
        <v>562.4636613542591</v>
      </c>
      <c r="H39">
        <v>-36.4636613542591</v>
      </c>
      <c r="I39">
        <v>-0.34598930588553856</v>
      </c>
      <c r="K39">
        <v>15.517241379310345</v>
      </c>
      <c r="L39">
        <v>427.0</v>
      </c>
    </row>
    <row r="40" ht="22.5" customHeight="1">
      <c r="A40" s="7">
        <v>2022.0</v>
      </c>
      <c r="B40" s="7">
        <v>3.0</v>
      </c>
      <c r="C40" s="8" t="str">
        <f>DATE('MODELO 1'!$A40,'MODELO 1'!$B40,1)</f>
        <v>3/1/2022</v>
      </c>
      <c r="D40" s="7">
        <v>552.0</v>
      </c>
      <c r="F40">
        <v>15.0</v>
      </c>
      <c r="G40">
        <v>562.3024001550605</v>
      </c>
      <c r="H40">
        <v>0.697599844939532</v>
      </c>
      <c r="I40">
        <v>0.006619249882549053</v>
      </c>
      <c r="K40">
        <v>16.666666666666664</v>
      </c>
      <c r="L40">
        <v>427.0</v>
      </c>
    </row>
    <row r="41" ht="22.5" customHeight="1">
      <c r="A41" s="7">
        <v>2022.0</v>
      </c>
      <c r="B41" s="7">
        <v>4.0</v>
      </c>
      <c r="C41" s="8" t="str">
        <f>DATE('MODELO 1'!$A41,'MODELO 1'!$B41,1)</f>
        <v>4/1/2022</v>
      </c>
      <c r="D41" s="7">
        <v>539.0</v>
      </c>
      <c r="F41">
        <v>16.0</v>
      </c>
      <c r="G41">
        <v>562.1300174938481</v>
      </c>
      <c r="H41">
        <v>-222.13001749384807</v>
      </c>
      <c r="I41">
        <v>-2.107704155717267</v>
      </c>
      <c r="K41">
        <v>17.816091954022987</v>
      </c>
      <c r="L41">
        <v>428.0</v>
      </c>
    </row>
    <row r="42" ht="22.5" customHeight="1">
      <c r="A42" s="7">
        <v>2022.0</v>
      </c>
      <c r="B42" s="7">
        <v>5.0</v>
      </c>
      <c r="C42" s="8" t="str">
        <f>DATE('MODELO 1'!$A42,'MODELO 1'!$B42,1)</f>
        <v>5/1/2022</v>
      </c>
      <c r="D42" s="7">
        <v>574.0</v>
      </c>
      <c r="F42">
        <v>17.0</v>
      </c>
      <c r="G42">
        <v>561.9631955636427</v>
      </c>
      <c r="H42">
        <v>-113.96319556364267</v>
      </c>
      <c r="I42">
        <v>-1.0813518298802713</v>
      </c>
      <c r="K42">
        <v>18.96551724137931</v>
      </c>
      <c r="L42">
        <v>430.0</v>
      </c>
    </row>
    <row r="43" ht="22.5" customHeight="1">
      <c r="A43" s="7">
        <v>2022.0</v>
      </c>
      <c r="B43" s="7">
        <v>6.0</v>
      </c>
      <c r="C43" s="8" t="str">
        <f>DATE('MODELO 1'!$A43,'MODELO 1'!$B43,1)</f>
        <v>6/1/2022</v>
      </c>
      <c r="D43" s="7">
        <v>758.0</v>
      </c>
      <c r="F43">
        <v>18.0</v>
      </c>
      <c r="G43">
        <v>561.7908129024304</v>
      </c>
      <c r="H43">
        <v>-75.79081290243039</v>
      </c>
      <c r="I43">
        <v>-0.7191491412189105</v>
      </c>
      <c r="K43">
        <v>20.114942528735632</v>
      </c>
      <c r="L43">
        <v>432.0</v>
      </c>
    </row>
    <row r="44" ht="22.5" customHeight="1">
      <c r="A44" s="7">
        <v>2022.0</v>
      </c>
      <c r="B44" s="7">
        <v>7.0</v>
      </c>
      <c r="C44" s="8" t="str">
        <f>DATE('MODELO 1'!$A44,'MODELO 1'!$B44,1)</f>
        <v>7/1/2022</v>
      </c>
      <c r="D44" s="7">
        <v>595.0</v>
      </c>
      <c r="F44">
        <v>19.0</v>
      </c>
      <c r="G44">
        <v>561.6239909722249</v>
      </c>
      <c r="H44">
        <v>-44.623990972224874</v>
      </c>
      <c r="I44">
        <v>-0.42341945621758675</v>
      </c>
      <c r="K44">
        <v>21.264367816091955</v>
      </c>
      <c r="L44">
        <v>447.0</v>
      </c>
    </row>
    <row r="45" ht="22.5" customHeight="1">
      <c r="A45" s="7">
        <v>2022.0</v>
      </c>
      <c r="B45" s="7">
        <v>8.0</v>
      </c>
      <c r="C45" s="8" t="str">
        <f>DATE('MODELO 1'!$A45,'MODELO 1'!$B45,1)</f>
        <v>8/1/2022</v>
      </c>
      <c r="D45" s="7">
        <v>562.0</v>
      </c>
      <c r="F45">
        <v>20.0</v>
      </c>
      <c r="G45">
        <v>561.4516083110126</v>
      </c>
      <c r="H45">
        <v>-159.4516083110126</v>
      </c>
      <c r="I45">
        <v>-1.5129734435024338</v>
      </c>
      <c r="K45">
        <v>22.413793103448274</v>
      </c>
      <c r="L45">
        <v>448.0</v>
      </c>
    </row>
    <row r="46" ht="22.5" customHeight="1">
      <c r="A46" s="7">
        <v>2022.0</v>
      </c>
      <c r="B46" s="7">
        <v>9.0</v>
      </c>
      <c r="C46" s="8" t="str">
        <f>DATE('MODELO 1'!$A46,'MODELO 1'!$B46,1)</f>
        <v>9/1/2022</v>
      </c>
      <c r="D46" s="7">
        <v>637.0</v>
      </c>
      <c r="F46">
        <v>21.0</v>
      </c>
      <c r="G46">
        <v>561.2792256498003</v>
      </c>
      <c r="H46">
        <v>-155.2792256498003</v>
      </c>
      <c r="I46">
        <v>-1.473383349495786</v>
      </c>
      <c r="K46">
        <v>23.563218390804597</v>
      </c>
      <c r="L46">
        <v>456.0</v>
      </c>
    </row>
    <row r="47" ht="22.5" customHeight="1">
      <c r="A47" s="7">
        <v>2022.0</v>
      </c>
      <c r="B47" s="7">
        <v>10.0</v>
      </c>
      <c r="C47" s="8" t="str">
        <f>DATE('MODELO 1'!$A47,'MODELO 1'!$B47,1)</f>
        <v>10/1/2022</v>
      </c>
      <c r="D47" s="7">
        <v>602.0</v>
      </c>
      <c r="F47">
        <v>22.0</v>
      </c>
      <c r="G47">
        <v>561.1124037195949</v>
      </c>
      <c r="H47">
        <v>-105.11240371959491</v>
      </c>
      <c r="I47">
        <v>-0.9973701557168295</v>
      </c>
      <c r="K47">
        <v>24.71264367816092</v>
      </c>
      <c r="L47">
        <v>481.0</v>
      </c>
    </row>
    <row r="48" ht="22.5" customHeight="1">
      <c r="A48" s="7">
        <v>2022.0</v>
      </c>
      <c r="B48" s="7">
        <v>11.0</v>
      </c>
      <c r="C48" s="8" t="str">
        <f>DATE('MODELO 1'!$A48,'MODELO 1'!$B48,1)</f>
        <v>11/1/2022</v>
      </c>
      <c r="D48" s="7">
        <v>430.0</v>
      </c>
      <c r="F48">
        <v>23.0</v>
      </c>
      <c r="G48">
        <v>560.9400210583826</v>
      </c>
      <c r="H48">
        <v>-143.94002105838263</v>
      </c>
      <c r="I48">
        <v>-1.365790107891142</v>
      </c>
      <c r="K48">
        <v>25.86206896551724</v>
      </c>
      <c r="L48">
        <v>485.0</v>
      </c>
    </row>
    <row r="49" ht="22.5" customHeight="1">
      <c r="A49" s="7">
        <v>2022.0</v>
      </c>
      <c r="B49" s="7">
        <v>12.0</v>
      </c>
      <c r="C49" s="8" t="str">
        <f>DATE('MODELO 1'!$A49,'MODELO 1'!$B49,1)</f>
        <v>12/1/2022</v>
      </c>
      <c r="D49" s="7">
        <v>541.0</v>
      </c>
      <c r="F49">
        <v>24.0</v>
      </c>
      <c r="G49">
        <v>560.7731991281771</v>
      </c>
      <c r="H49">
        <v>-70.77319912817711</v>
      </c>
      <c r="I49">
        <v>-0.6715389824339965</v>
      </c>
      <c r="K49">
        <v>27.01149425287356</v>
      </c>
      <c r="L49">
        <v>486.0</v>
      </c>
    </row>
    <row r="50" ht="22.5" customHeight="1">
      <c r="A50" s="7">
        <v>2023.0</v>
      </c>
      <c r="B50" s="7">
        <v>1.0</v>
      </c>
      <c r="C50" s="8" t="str">
        <f>DATE('MODELO 1'!$A50,'MODELO 1'!$B50,1)</f>
        <v>1/1/2023</v>
      </c>
      <c r="D50" s="7">
        <v>496.0</v>
      </c>
      <c r="F50">
        <v>25.0</v>
      </c>
      <c r="G50">
        <v>560.6008164669648</v>
      </c>
      <c r="H50">
        <v>-159.60081646696483</v>
      </c>
      <c r="I50">
        <v>-1.5143892208652396</v>
      </c>
      <c r="K50">
        <v>28.160919540229884</v>
      </c>
      <c r="L50">
        <v>490.0</v>
      </c>
    </row>
    <row r="51" ht="22.5" customHeight="1">
      <c r="A51" s="7">
        <v>2023.0</v>
      </c>
      <c r="B51" s="7">
        <v>2.0</v>
      </c>
      <c r="C51" s="8" t="str">
        <f>DATE('MODELO 1'!$A51,'MODELO 1'!$B51,1)</f>
        <v>2/1/2023</v>
      </c>
      <c r="D51" s="7">
        <v>447.0</v>
      </c>
      <c r="F51">
        <v>26.0</v>
      </c>
      <c r="G51">
        <v>560.4284338057525</v>
      </c>
      <c r="H51">
        <v>-138.42843380575255</v>
      </c>
      <c r="I51">
        <v>-1.3134928295312351</v>
      </c>
      <c r="K51">
        <v>29.310344827586206</v>
      </c>
      <c r="L51">
        <v>496.0</v>
      </c>
    </row>
    <row r="52" ht="22.5" customHeight="1">
      <c r="A52" s="7">
        <v>2023.0</v>
      </c>
      <c r="B52" s="7">
        <v>3.0</v>
      </c>
      <c r="C52" s="8" t="str">
        <f>DATE('MODELO 1'!$A52,'MODELO 1'!$B52,1)</f>
        <v>3/1/2023</v>
      </c>
      <c r="D52" s="7">
        <v>427.0</v>
      </c>
      <c r="F52">
        <v>27.0</v>
      </c>
      <c r="G52">
        <v>560.2727333375608</v>
      </c>
      <c r="H52">
        <v>-75.2727333375608</v>
      </c>
      <c r="I52">
        <v>-0.7142332884936116</v>
      </c>
      <c r="K52">
        <v>30.45977011494253</v>
      </c>
      <c r="L52">
        <v>501.0</v>
      </c>
    </row>
    <row r="53" ht="22.5" customHeight="1">
      <c r="A53" s="7">
        <v>2023.0</v>
      </c>
      <c r="B53" s="7">
        <v>4.0</v>
      </c>
      <c r="C53" s="8" t="str">
        <f>DATE('MODELO 1'!$A53,'MODELO 1'!$B53,1)</f>
        <v>4/1/2023</v>
      </c>
      <c r="D53" s="7">
        <v>582.0</v>
      </c>
      <c r="F53">
        <v>28.0</v>
      </c>
      <c r="G53">
        <v>560.1003506763484</v>
      </c>
      <c r="H53">
        <v>-128.1003506763484</v>
      </c>
      <c r="I53">
        <v>-1.2154937208198635</v>
      </c>
      <c r="K53">
        <v>31.609195402298848</v>
      </c>
      <c r="L53">
        <v>502.0</v>
      </c>
    </row>
    <row r="54" ht="22.5" customHeight="1">
      <c r="A54" s="7">
        <v>2023.0</v>
      </c>
      <c r="B54" s="7">
        <v>5.0</v>
      </c>
      <c r="C54" s="8" t="str">
        <f>DATE('MODELO 1'!$A54,'MODELO 1'!$B54,1)</f>
        <v>5/1/2023</v>
      </c>
      <c r="D54" s="7">
        <v>740.0</v>
      </c>
      <c r="F54">
        <v>29.0</v>
      </c>
      <c r="G54">
        <v>559.933528746143</v>
      </c>
      <c r="H54">
        <v>-147.933528746143</v>
      </c>
      <c r="I54">
        <v>-1.4036829278006102</v>
      </c>
      <c r="K54">
        <v>32.75862068965517</v>
      </c>
      <c r="L54">
        <v>517.0</v>
      </c>
    </row>
    <row r="55" ht="22.5" customHeight="1">
      <c r="A55" s="7">
        <v>2023.0</v>
      </c>
      <c r="B55" s="7">
        <v>6.0</v>
      </c>
      <c r="C55" s="8" t="str">
        <f>DATE('MODELO 1'!$A55,'MODELO 1'!$B55,1)</f>
        <v>6/1/2023</v>
      </c>
      <c r="D55" s="7">
        <v>724.0</v>
      </c>
      <c r="F55">
        <v>30.0</v>
      </c>
      <c r="G55">
        <v>559.7611460849307</v>
      </c>
      <c r="H55">
        <v>-10.761146084930715</v>
      </c>
      <c r="I55">
        <v>-0.10210827235052657</v>
      </c>
      <c r="K55">
        <v>33.90804597701149</v>
      </c>
      <c r="L55">
        <v>522.0</v>
      </c>
    </row>
    <row r="56" ht="22.5" customHeight="1">
      <c r="A56" s="7">
        <v>2023.0</v>
      </c>
      <c r="B56" s="7">
        <v>7.0</v>
      </c>
      <c r="C56" s="8" t="str">
        <f>DATE('MODELO 1'!$A56,'MODELO 1'!$B56,1)</f>
        <v>7/1/2023</v>
      </c>
      <c r="D56" s="7">
        <v>657.0</v>
      </c>
      <c r="F56">
        <v>31.0</v>
      </c>
      <c r="G56">
        <v>559.5943241547252</v>
      </c>
      <c r="H56">
        <v>-32.5943241547252</v>
      </c>
      <c r="I56">
        <v>-0.30927469078154934</v>
      </c>
      <c r="K56">
        <v>35.05747126436781</v>
      </c>
      <c r="L56">
        <v>526.0</v>
      </c>
    </row>
    <row r="57" ht="22.5" customHeight="1">
      <c r="A57" s="7">
        <v>2023.0</v>
      </c>
      <c r="B57" s="7">
        <v>8.0</v>
      </c>
      <c r="C57" s="8" t="str">
        <f>DATE('MODELO 1'!$A57,'MODELO 1'!$B57,1)</f>
        <v>8/1/2023</v>
      </c>
      <c r="D57" s="7">
        <v>625.0</v>
      </c>
      <c r="F57">
        <v>32.0</v>
      </c>
      <c r="G57">
        <v>559.4219414935129</v>
      </c>
      <c r="H57">
        <v>71.57805850648708</v>
      </c>
      <c r="I57">
        <v>0.6791759757389599</v>
      </c>
      <c r="K57">
        <v>36.206896551724135</v>
      </c>
      <c r="L57">
        <v>527.0</v>
      </c>
    </row>
    <row r="58" ht="22.5" customHeight="1">
      <c r="A58" s="7">
        <v>2023.0</v>
      </c>
      <c r="B58" s="7">
        <v>9.0</v>
      </c>
      <c r="C58" s="8" t="str">
        <f>DATE('MODELO 1'!$A58,'MODELO 1'!$B58,1)</f>
        <v>9/1/2023</v>
      </c>
      <c r="D58" s="7">
        <v>685.0</v>
      </c>
      <c r="F58">
        <v>33.0</v>
      </c>
      <c r="G58">
        <v>559.2495588323006</v>
      </c>
      <c r="H58">
        <v>39.750441167699364</v>
      </c>
      <c r="I58">
        <v>0.37717626364061785</v>
      </c>
      <c r="K58">
        <v>37.35632183908046</v>
      </c>
      <c r="L58">
        <v>539.0</v>
      </c>
    </row>
    <row r="59" ht="22.5" customHeight="1">
      <c r="A59" s="7">
        <v>2023.0</v>
      </c>
      <c r="B59" s="7">
        <v>10.0</v>
      </c>
      <c r="C59" s="8" t="str">
        <f>DATE('MODELO 1'!$A59,'MODELO 1'!$B59,1)</f>
        <v>10/1/2023</v>
      </c>
      <c r="D59" s="7">
        <v>658.0</v>
      </c>
      <c r="F59">
        <v>34.0</v>
      </c>
      <c r="G59">
        <v>559.0827369020952</v>
      </c>
      <c r="H59">
        <v>-2.0827369020952347</v>
      </c>
      <c r="I59">
        <v>-0.019762269293178304</v>
      </c>
      <c r="K59">
        <v>38.50574712643678</v>
      </c>
      <c r="L59">
        <v>541.0</v>
      </c>
    </row>
    <row r="60" ht="22.5" customHeight="1">
      <c r="A60" s="7">
        <v>2023.0</v>
      </c>
      <c r="B60" s="7">
        <v>11.0</v>
      </c>
      <c r="C60" s="8" t="str">
        <f>DATE('MODELO 1'!$A60,'MODELO 1'!$B60,1)</f>
        <v>11/1/2023</v>
      </c>
      <c r="D60" s="7">
        <v>632.0</v>
      </c>
      <c r="F60">
        <v>35.0</v>
      </c>
      <c r="G60">
        <v>558.910354240883</v>
      </c>
      <c r="H60">
        <v>54.08964575911705</v>
      </c>
      <c r="I60">
        <v>0.5132353224206776</v>
      </c>
      <c r="K60">
        <v>39.6551724137931</v>
      </c>
      <c r="L60">
        <v>543.0</v>
      </c>
    </row>
    <row r="61" ht="22.5" customHeight="1">
      <c r="A61" s="7">
        <v>2023.0</v>
      </c>
      <c r="B61" s="7">
        <v>12.0</v>
      </c>
      <c r="C61" s="8" t="str">
        <f>DATE('MODELO 1'!$A61,'MODELO 1'!$B61,1)</f>
        <v>12/1/2023</v>
      </c>
      <c r="D61" s="7">
        <v>543.0</v>
      </c>
      <c r="F61">
        <v>36.0</v>
      </c>
      <c r="G61">
        <v>558.7435323106774</v>
      </c>
      <c r="H61">
        <v>174.25646768932256</v>
      </c>
      <c r="I61">
        <v>1.6534509169593379</v>
      </c>
      <c r="K61">
        <v>40.804597701149426</v>
      </c>
      <c r="L61">
        <v>549.0</v>
      </c>
    </row>
    <row r="62" ht="22.5" customHeight="1">
      <c r="A62" s="7">
        <v>2024.0</v>
      </c>
      <c r="B62" s="7">
        <v>1.0</v>
      </c>
      <c r="C62" s="8" t="str">
        <f>DATE('MODELO 1'!$A62,'MODELO 1'!$B62,1)</f>
        <v>1/1/2024</v>
      </c>
      <c r="D62" s="7">
        <v>502.0</v>
      </c>
      <c r="F62">
        <v>37.0</v>
      </c>
      <c r="G62">
        <v>558.5711496494652</v>
      </c>
      <c r="H62">
        <v>-168.57114964946516</v>
      </c>
      <c r="I62">
        <v>-1.599505175657113</v>
      </c>
      <c r="K62">
        <v>41.95402298850575</v>
      </c>
      <c r="L62">
        <v>550.0</v>
      </c>
    </row>
    <row r="63" ht="22.5" customHeight="1">
      <c r="A63" s="7">
        <v>2024.0</v>
      </c>
      <c r="B63" s="7">
        <v>2.0</v>
      </c>
      <c r="C63" s="8" t="str">
        <f>DATE('MODELO 1'!$A63,'MODELO 1'!$B63,1)</f>
        <v>2/1/2024</v>
      </c>
      <c r="D63" s="7">
        <v>403.0</v>
      </c>
      <c r="F63">
        <v>38.0</v>
      </c>
      <c r="G63">
        <v>558.3987669882529</v>
      </c>
      <c r="H63">
        <v>-77.39876698825287</v>
      </c>
      <c r="I63">
        <v>-0.7344063835634057</v>
      </c>
      <c r="K63">
        <v>43.103448275862064</v>
      </c>
      <c r="L63">
        <v>552.0</v>
      </c>
    </row>
    <row r="64" ht="22.5" customHeight="1">
      <c r="A64" s="7">
        <v>2024.0</v>
      </c>
      <c r="B64" s="7">
        <v>3.0</v>
      </c>
      <c r="C64" s="8" t="str">
        <f>DATE('MODELO 1'!$A64,'MODELO 1'!$B64,1)</f>
        <v>3/1/2024</v>
      </c>
      <c r="D64" s="7">
        <v>427.0</v>
      </c>
      <c r="F64">
        <v>39.0</v>
      </c>
      <c r="G64">
        <v>558.2430665200611</v>
      </c>
      <c r="H64">
        <v>-6.24306652006112</v>
      </c>
      <c r="I64">
        <v>-0.05923799672467315</v>
      </c>
      <c r="K64">
        <v>44.25287356321839</v>
      </c>
      <c r="L64">
        <v>557.0</v>
      </c>
    </row>
    <row r="65" ht="22.5" customHeight="1">
      <c r="A65" s="7">
        <v>2024.0</v>
      </c>
      <c r="B65" s="7">
        <v>4.0</v>
      </c>
      <c r="C65" s="8" t="str">
        <f>DATE('MODELO 1'!$A65,'MODELO 1'!$B65,1)</f>
        <v>4/1/2024</v>
      </c>
      <c r="D65" s="7">
        <v>567.0</v>
      </c>
      <c r="F65">
        <v>40.0</v>
      </c>
      <c r="G65">
        <v>558.0706838588487</v>
      </c>
      <c r="H65">
        <v>-19.070683858848724</v>
      </c>
      <c r="I65">
        <v>-0.18095420004538057</v>
      </c>
      <c r="K65">
        <v>45.40229885057471</v>
      </c>
      <c r="L65">
        <v>562.0</v>
      </c>
    </row>
    <row r="66" ht="22.5" customHeight="1">
      <c r="A66" s="7">
        <v>2024.0</v>
      </c>
      <c r="B66" s="7">
        <v>5.0</v>
      </c>
      <c r="C66" s="8" t="str">
        <f>DATE('MODELO 1'!$A66,'MODELO 1'!$B66,1)</f>
        <v>5/1/2024</v>
      </c>
      <c r="D66" s="7">
        <v>563.0</v>
      </c>
      <c r="F66">
        <v>41.0</v>
      </c>
      <c r="G66">
        <v>557.9038619286433</v>
      </c>
      <c r="H66">
        <v>16.096138071356677</v>
      </c>
      <c r="I66">
        <v>0.15272990785649657</v>
      </c>
      <c r="K66">
        <v>46.55172413793103</v>
      </c>
      <c r="L66">
        <v>563.0</v>
      </c>
    </row>
    <row r="67" ht="22.5" customHeight="1">
      <c r="A67" s="7">
        <v>2024.0</v>
      </c>
      <c r="B67" s="7">
        <v>6.0</v>
      </c>
      <c r="C67" s="8" t="str">
        <f>DATE('MODELO 1'!$A67,'MODELO 1'!$B67,1)</f>
        <v>6/1/2024</v>
      </c>
      <c r="D67" s="7">
        <v>573.0</v>
      </c>
      <c r="F67">
        <v>42.0</v>
      </c>
      <c r="G67">
        <v>557.731479267431</v>
      </c>
      <c r="H67">
        <v>200.26852073256896</v>
      </c>
      <c r="I67">
        <v>1.900269032388095</v>
      </c>
      <c r="K67">
        <v>47.701149425287355</v>
      </c>
      <c r="L67">
        <v>563.0</v>
      </c>
    </row>
    <row r="68" ht="22.5" customHeight="1">
      <c r="A68" s="7">
        <v>2024.0</v>
      </c>
      <c r="B68" s="7">
        <v>7.0</v>
      </c>
      <c r="C68" s="8" t="str">
        <f>DATE('MODELO 1'!$A68,'MODELO 1'!$B68,1)</f>
        <v>7/1/2024</v>
      </c>
      <c r="D68" s="7">
        <v>600.0</v>
      </c>
      <c r="F68">
        <v>43.0</v>
      </c>
      <c r="G68">
        <v>557.5646573372255</v>
      </c>
      <c r="H68">
        <v>37.435342662774474</v>
      </c>
      <c r="I68">
        <v>0.35520920671252765</v>
      </c>
      <c r="K68">
        <v>48.85057471264368</v>
      </c>
      <c r="L68">
        <v>567.0</v>
      </c>
    </row>
    <row r="69" ht="22.5" customHeight="1">
      <c r="A69" s="7">
        <v>2024.0</v>
      </c>
      <c r="B69" s="7">
        <v>8.0</v>
      </c>
      <c r="C69" s="8" t="str">
        <f>DATE('MODELO 1'!$A69,'MODELO 1'!$B69,1)</f>
        <v>8/1/2024</v>
      </c>
      <c r="D69" s="7">
        <v>677.0</v>
      </c>
      <c r="F69">
        <v>44.0</v>
      </c>
      <c r="G69">
        <v>557.3922746760132</v>
      </c>
      <c r="H69">
        <v>4.607725323986756</v>
      </c>
      <c r="I69">
        <v>0.043720888889046905</v>
      </c>
      <c r="K69">
        <v>50.0</v>
      </c>
      <c r="L69">
        <v>573.0</v>
      </c>
    </row>
    <row r="70" ht="22.5" customHeight="1">
      <c r="A70" s="7">
        <v>2024.0</v>
      </c>
      <c r="B70" s="7">
        <v>9.0</v>
      </c>
      <c r="C70" s="8" t="str">
        <f>DATE('MODELO 1'!$A70,'MODELO 1'!$B70,1)</f>
        <v>9/1/2024</v>
      </c>
      <c r="D70" s="7">
        <v>590.0</v>
      </c>
      <c r="F70">
        <v>45.0</v>
      </c>
      <c r="G70">
        <v>557.219892014801</v>
      </c>
      <c r="H70">
        <v>79.78010798519904</v>
      </c>
      <c r="I70">
        <v>0.7570019893805364</v>
      </c>
      <c r="K70">
        <v>51.149425287356316</v>
      </c>
      <c r="L70">
        <v>574.0</v>
      </c>
    </row>
    <row r="71" ht="22.5" customHeight="1">
      <c r="A71" s="7">
        <v>2024.0</v>
      </c>
      <c r="B71" s="7">
        <v>10.0</v>
      </c>
      <c r="C71" s="8" t="str">
        <f>DATE('MODELO 1'!$A71,'MODELO 1'!$B71,1)</f>
        <v>10/1/2024</v>
      </c>
      <c r="D71" s="7">
        <v>428.0</v>
      </c>
      <c r="F71">
        <v>46.0</v>
      </c>
      <c r="G71">
        <v>557.0530700845956</v>
      </c>
      <c r="H71">
        <v>44.94692991540444</v>
      </c>
      <c r="I71">
        <v>0.42648369652271056</v>
      </c>
      <c r="K71">
        <v>52.29885057471264</v>
      </c>
      <c r="L71">
        <v>579.0</v>
      </c>
    </row>
    <row r="72" ht="22.5" customHeight="1">
      <c r="A72" s="7">
        <v>2024.0</v>
      </c>
      <c r="B72" s="7">
        <v>11.0</v>
      </c>
      <c r="C72" s="8" t="str">
        <f>DATE('MODELO 1'!$A72,'MODELO 1'!$B72,1)</f>
        <v>11/1/2024</v>
      </c>
      <c r="D72" s="7">
        <v>368.0</v>
      </c>
      <c r="F72">
        <v>47.0</v>
      </c>
      <c r="G72">
        <v>556.8806874233833</v>
      </c>
      <c r="H72">
        <v>-126.88068742338328</v>
      </c>
      <c r="I72">
        <v>-1.2039208170950375</v>
      </c>
      <c r="K72">
        <v>53.44827586206896</v>
      </c>
      <c r="L72">
        <v>580.0</v>
      </c>
    </row>
    <row r="73" ht="22.5" customHeight="1">
      <c r="A73" s="7">
        <v>2024.0</v>
      </c>
      <c r="B73" s="7">
        <v>12.0</v>
      </c>
      <c r="C73" s="8" t="str">
        <f>DATE('MODELO 1'!$A73,'MODELO 1'!$B73,1)</f>
        <v>12/1/2024</v>
      </c>
      <c r="D73" s="7">
        <v>607.0</v>
      </c>
      <c r="F73">
        <v>48.0</v>
      </c>
      <c r="G73">
        <v>556.7138654931778</v>
      </c>
      <c r="H73">
        <v>-15.713865493177764</v>
      </c>
      <c r="I73">
        <v>-0.14910267408262465</v>
      </c>
      <c r="K73">
        <v>54.59770114942528</v>
      </c>
      <c r="L73">
        <v>582.0</v>
      </c>
    </row>
    <row r="74" ht="22.5" customHeight="1">
      <c r="A74" s="7">
        <v>2025.0</v>
      </c>
      <c r="B74" s="7">
        <v>1.0</v>
      </c>
      <c r="C74" s="8" t="str">
        <f>DATE('MODELO 1'!$A74,'MODELO 1'!$B74,1)</f>
        <v>1/1/2025</v>
      </c>
      <c r="D74" s="7">
        <v>583.0</v>
      </c>
      <c r="F74">
        <v>49.0</v>
      </c>
      <c r="G74">
        <v>556.5414828319655</v>
      </c>
      <c r="H74">
        <v>-60.54148283196548</v>
      </c>
      <c r="I74">
        <v>-0.5744542606077687</v>
      </c>
      <c r="K74">
        <v>55.747126436781606</v>
      </c>
      <c r="L74">
        <v>583.0</v>
      </c>
    </row>
    <row r="75" ht="22.5" customHeight="1">
      <c r="A75" s="7">
        <v>2025.0</v>
      </c>
      <c r="B75" s="7">
        <v>2.0</v>
      </c>
      <c r="C75" s="8" t="str">
        <f>DATE('MODELO 1'!$A75,'MODELO 1'!$B75,1)</f>
        <v>2/1/2025</v>
      </c>
      <c r="D75" s="7">
        <v>550.0</v>
      </c>
      <c r="F75">
        <v>50.0</v>
      </c>
      <c r="G75">
        <v>556.3691001707532</v>
      </c>
      <c r="H75">
        <v>-109.3691001707532</v>
      </c>
      <c r="I75">
        <v>-1.0377602700334674</v>
      </c>
      <c r="K75">
        <v>56.89655172413793</v>
      </c>
      <c r="L75">
        <v>589.0</v>
      </c>
    </row>
    <row r="76" ht="22.5" customHeight="1">
      <c r="A76" s="7">
        <v>2025.0</v>
      </c>
      <c r="B76" s="7">
        <v>3.0</v>
      </c>
      <c r="C76" s="8" t="str">
        <f>DATE('MODELO 1'!$A76,'MODELO 1'!$B76,1)</f>
        <v>3/1/2025</v>
      </c>
      <c r="D76" s="7">
        <v>580.0</v>
      </c>
      <c r="F76">
        <v>51.0</v>
      </c>
      <c r="G76">
        <v>556.2133997025614</v>
      </c>
      <c r="H76">
        <v>-129.21339970256145</v>
      </c>
      <c r="I76">
        <v>-1.2260550041823486</v>
      </c>
      <c r="K76">
        <v>58.04597701149425</v>
      </c>
      <c r="L76">
        <v>589.0</v>
      </c>
    </row>
    <row r="77" ht="22.5" customHeight="1">
      <c r="A77" s="7">
        <v>2025.0</v>
      </c>
      <c r="B77" s="7">
        <v>4.0</v>
      </c>
      <c r="C77" s="8" t="str">
        <f>DATE('MODELO 1'!$A77,'MODELO 1'!$B77,1)</f>
        <v>4/1/2025</v>
      </c>
      <c r="D77" s="7">
        <v>522.0</v>
      </c>
      <c r="F77">
        <v>52.0</v>
      </c>
      <c r="G77">
        <v>556.041017041349</v>
      </c>
      <c r="H77">
        <v>25.95898295865095</v>
      </c>
      <c r="I77">
        <v>0.2463145543202311</v>
      </c>
      <c r="K77">
        <v>59.195402298850574</v>
      </c>
      <c r="L77">
        <v>590.0</v>
      </c>
    </row>
    <row r="78" ht="22.5" customHeight="1">
      <c r="A78" s="7">
        <v>2025.0</v>
      </c>
      <c r="B78" s="7">
        <v>5.0</v>
      </c>
      <c r="C78" s="8" t="str">
        <f>DATE('MODELO 1'!$A78,'MODELO 1'!$B78,1)</f>
        <v>5/1/2025</v>
      </c>
      <c r="D78" s="7">
        <v>598.0</v>
      </c>
      <c r="F78">
        <v>53.0</v>
      </c>
      <c r="G78">
        <v>555.8741951111436</v>
      </c>
      <c r="H78">
        <v>184.12580488885635</v>
      </c>
      <c r="I78">
        <v>1.7470971664141577</v>
      </c>
      <c r="K78">
        <v>60.3448275862069</v>
      </c>
      <c r="L78">
        <v>594.0</v>
      </c>
    </row>
    <row r="79" ht="22.5" customHeight="1">
      <c r="A79" s="7">
        <v>2025.0</v>
      </c>
      <c r="B79" s="7">
        <v>6.0</v>
      </c>
      <c r="C79" s="8" t="str">
        <f>DATE('MODELO 1'!$A79,'MODELO 1'!$B79,1)</f>
        <v>6/1/2025</v>
      </c>
      <c r="D79" s="7">
        <v>594.0</v>
      </c>
      <c r="F79">
        <v>54.0</v>
      </c>
      <c r="G79">
        <v>555.7018124499314</v>
      </c>
      <c r="H79">
        <v>168.29818755006863</v>
      </c>
      <c r="I79">
        <v>1.5969151459180333</v>
      </c>
      <c r="K79">
        <v>61.49425287356321</v>
      </c>
      <c r="L79">
        <v>595.0</v>
      </c>
    </row>
    <row r="80" ht="22.5" customHeight="1">
      <c r="A80" s="7">
        <v>2025.0</v>
      </c>
      <c r="B80" s="7">
        <v>7.0</v>
      </c>
      <c r="C80" s="8" t="str">
        <f>DATE('MODELO 1'!$A80,'MODELO 1'!$B80,1)</f>
        <v>7/1/2025</v>
      </c>
      <c r="D80" s="7">
        <v>698.0</v>
      </c>
      <c r="F80">
        <v>55.0</v>
      </c>
      <c r="G80">
        <v>555.5349905197259</v>
      </c>
      <c r="H80">
        <v>101.46500948027415</v>
      </c>
      <c r="I80">
        <v>0.962761469855773</v>
      </c>
      <c r="K80">
        <v>62.643678160919535</v>
      </c>
      <c r="L80">
        <v>597.0</v>
      </c>
    </row>
    <row r="81" ht="22.5" customHeight="1">
      <c r="A81" s="7">
        <v>2025.0</v>
      </c>
      <c r="B81" s="7">
        <v>8.0</v>
      </c>
      <c r="C81" s="8" t="str">
        <f>DATE('MODELO 1'!$A81,'MODELO 1'!$B81,1)</f>
        <v>8/1/2025</v>
      </c>
      <c r="D81" s="7">
        <v>645.0</v>
      </c>
      <c r="F81">
        <v>56.0</v>
      </c>
      <c r="G81">
        <v>555.3626078585136</v>
      </c>
      <c r="H81">
        <v>69.63739214148643</v>
      </c>
      <c r="I81">
        <v>0.6607617577574308</v>
      </c>
      <c r="K81">
        <v>63.79310344827586</v>
      </c>
      <c r="L81">
        <v>598.0</v>
      </c>
    </row>
    <row r="82" ht="22.5" customHeight="1">
      <c r="A82" s="7">
        <v>2025.0</v>
      </c>
      <c r="B82" s="7">
        <v>9.0</v>
      </c>
      <c r="C82" s="8" t="str">
        <f>DATE('MODELO 1'!$A82,'MODELO 1'!$B82,1)</f>
        <v>9/1/2025</v>
      </c>
      <c r="D82" s="7">
        <v>741.0</v>
      </c>
      <c r="F82">
        <v>57.0</v>
      </c>
      <c r="G82">
        <v>555.1902251973013</v>
      </c>
      <c r="H82">
        <v>129.8097748026987</v>
      </c>
      <c r="I82">
        <v>1.2317137723718412</v>
      </c>
      <c r="K82">
        <v>64.94252873563217</v>
      </c>
      <c r="L82">
        <v>599.0</v>
      </c>
    </row>
    <row r="83" ht="22.5" customHeight="1">
      <c r="A83" s="7">
        <v>2025.0</v>
      </c>
      <c r="B83" s="7">
        <v>10.0</v>
      </c>
      <c r="C83" s="8" t="str">
        <f>DATE('MODELO 1'!$A83,'MODELO 1'!$B83,1)</f>
        <v>10/1/2025</v>
      </c>
      <c r="D83" s="7">
        <v>626.0</v>
      </c>
      <c r="F83">
        <v>58.0</v>
      </c>
      <c r="G83">
        <v>555.0234032670959</v>
      </c>
      <c r="H83">
        <v>102.97659673290411</v>
      </c>
      <c r="I83">
        <v>0.9771043253151243</v>
      </c>
      <c r="K83">
        <v>66.09195402298849</v>
      </c>
      <c r="L83">
        <v>600.0</v>
      </c>
    </row>
    <row r="84" ht="22.5" customHeight="1">
      <c r="A84" s="7">
        <v>2025.0</v>
      </c>
      <c r="B84" s="7">
        <v>11.0</v>
      </c>
      <c r="C84" s="8" t="str">
        <f>DATE('MODELO 1'!$A84,'MODELO 1'!$B84,1)</f>
        <v>11/1/2025</v>
      </c>
      <c r="D84" s="7">
        <v>501.0</v>
      </c>
      <c r="F84">
        <v>59.0</v>
      </c>
      <c r="G84">
        <v>554.8510206058836</v>
      </c>
      <c r="H84">
        <v>77.1489793941164</v>
      </c>
      <c r="I84">
        <v>0.7320362475676138</v>
      </c>
      <c r="K84">
        <v>67.24137931034481</v>
      </c>
      <c r="L84">
        <v>601.0</v>
      </c>
    </row>
    <row r="85" ht="22.5" customHeight="1">
      <c r="A85" s="7">
        <v>2025.0</v>
      </c>
      <c r="B85" s="7">
        <v>12.0</v>
      </c>
      <c r="C85" s="8" t="str">
        <f>DATE('MODELO 1'!$A85,'MODELO 1'!$B85,1)</f>
        <v>12/1/2025</v>
      </c>
      <c r="D85" s="7">
        <v>411.0</v>
      </c>
      <c r="F85">
        <v>60.0</v>
      </c>
      <c r="G85">
        <v>554.6841986756781</v>
      </c>
      <c r="H85">
        <v>-11.68419867567809</v>
      </c>
      <c r="I85">
        <v>-0.11086675444769613</v>
      </c>
      <c r="K85">
        <v>68.39080459770113</v>
      </c>
      <c r="L85">
        <v>602.0</v>
      </c>
    </row>
    <row r="86" ht="22.5" customHeight="1">
      <c r="A86" s="7">
        <v>2026.0</v>
      </c>
      <c r="B86" s="7">
        <v>1.0</v>
      </c>
      <c r="C86" s="8" t="str">
        <f>DATE('MODELO 1'!$A86,'MODELO 1'!$B86,1)</f>
        <v>1/1/2026</v>
      </c>
      <c r="D86" s="7">
        <v>386.0</v>
      </c>
      <c r="F86">
        <v>61.0</v>
      </c>
      <c r="G86">
        <v>554.5118160144658</v>
      </c>
      <c r="H86">
        <v>-52.51181601446581</v>
      </c>
      <c r="I86">
        <v>-0.4982639180722858</v>
      </c>
      <c r="K86">
        <v>69.54022988505746</v>
      </c>
      <c r="L86">
        <v>607.0</v>
      </c>
    </row>
    <row r="87" ht="22.5" customHeight="1">
      <c r="A87" s="7">
        <v>2026.0</v>
      </c>
      <c r="B87" s="7">
        <v>2.0</v>
      </c>
      <c r="C87" s="8" t="str">
        <f>DATE('MODELO 1'!$A87,'MODELO 1'!$B87,1)</f>
        <v>2/1/2026</v>
      </c>
      <c r="D87" s="7">
        <v>406.0</v>
      </c>
      <c r="F87">
        <v>62.0</v>
      </c>
      <c r="G87">
        <v>554.3394333532535</v>
      </c>
      <c r="H87">
        <v>-151.33943335325353</v>
      </c>
      <c r="I87">
        <v>-1.436000213754915</v>
      </c>
      <c r="K87">
        <v>70.68965517241378</v>
      </c>
      <c r="L87">
        <v>612.0</v>
      </c>
    </row>
    <row r="88" ht="22.5" customHeight="1">
      <c r="A88" s="7">
        <v>2026.0</v>
      </c>
      <c r="B88" s="7">
        <v>3.0</v>
      </c>
      <c r="C88" s="8" t="str">
        <f>DATE('MODELO 1'!$A88,'MODELO 1'!$B88,1)</f>
        <v>3/1/2026</v>
      </c>
      <c r="D88" s="7">
        <v>589.0</v>
      </c>
      <c r="F88">
        <v>63.0</v>
      </c>
      <c r="G88">
        <v>554.1781721540549</v>
      </c>
      <c r="H88">
        <v>-127.17817215405489</v>
      </c>
      <c r="I88">
        <v>-1.2067435324136295</v>
      </c>
      <c r="K88">
        <v>71.8390804597701</v>
      </c>
      <c r="L88">
        <v>613.0</v>
      </c>
    </row>
    <row r="89" ht="15.75" customHeight="1">
      <c r="F89">
        <v>64.0</v>
      </c>
      <c r="G89">
        <v>554.0057894928426</v>
      </c>
      <c r="H89">
        <v>12.99421050715739</v>
      </c>
      <c r="I89">
        <v>0.12329694021186995</v>
      </c>
      <c r="K89">
        <v>72.98850574712642</v>
      </c>
      <c r="L89">
        <v>614.0</v>
      </c>
    </row>
    <row r="90" ht="15.75" customHeight="1">
      <c r="F90">
        <v>65.0</v>
      </c>
      <c r="G90">
        <v>553.8389675626371</v>
      </c>
      <c r="H90">
        <v>9.161032437362906</v>
      </c>
      <c r="I90">
        <v>0.08692542483334222</v>
      </c>
      <c r="K90">
        <v>74.13793103448275</v>
      </c>
      <c r="L90">
        <v>624.0</v>
      </c>
    </row>
    <row r="91" ht="15.75" customHeight="1">
      <c r="F91">
        <v>66.0</v>
      </c>
      <c r="G91">
        <v>553.6665849014248</v>
      </c>
      <c r="H91">
        <v>19.333415098575188</v>
      </c>
      <c r="I91">
        <v>0.18344715319082183</v>
      </c>
      <c r="K91">
        <v>75.28735632183907</v>
      </c>
      <c r="L91">
        <v>625.0</v>
      </c>
    </row>
    <row r="92" ht="15.75" customHeight="1">
      <c r="F92">
        <v>67.0</v>
      </c>
      <c r="G92">
        <v>553.4997629712194</v>
      </c>
      <c r="H92">
        <v>46.50023702878059</v>
      </c>
      <c r="I92">
        <v>0.44122241529159006</v>
      </c>
      <c r="K92">
        <v>76.43678160919539</v>
      </c>
      <c r="L92">
        <v>626.0</v>
      </c>
    </row>
    <row r="93" ht="15.75" customHeight="1">
      <c r="F93">
        <v>68.0</v>
      </c>
      <c r="G93">
        <v>553.3273803100071</v>
      </c>
      <c r="H93">
        <v>123.67261968999287</v>
      </c>
      <c r="I93">
        <v>1.1734807272333567</v>
      </c>
      <c r="K93">
        <v>77.58620689655172</v>
      </c>
      <c r="L93">
        <v>631.0</v>
      </c>
    </row>
    <row r="94" ht="15.75" customHeight="1">
      <c r="F94">
        <v>69.0</v>
      </c>
      <c r="G94">
        <v>553.1549976487947</v>
      </c>
      <c r="H94">
        <v>36.84500235120527</v>
      </c>
      <c r="I94">
        <v>0.34960770025239196</v>
      </c>
      <c r="K94">
        <v>78.73563218390804</v>
      </c>
      <c r="L94">
        <v>632.0</v>
      </c>
    </row>
    <row r="95" ht="15.75" customHeight="1">
      <c r="F95">
        <v>70.0</v>
      </c>
      <c r="G95">
        <v>552.9881757185893</v>
      </c>
      <c r="H95">
        <v>-124.98817571858933</v>
      </c>
      <c r="I95">
        <v>-1.1859635196980378</v>
      </c>
      <c r="K95">
        <v>79.88505747126436</v>
      </c>
      <c r="L95">
        <v>636.0</v>
      </c>
    </row>
    <row r="96" ht="15.75" customHeight="1">
      <c r="F96">
        <v>71.0</v>
      </c>
      <c r="G96">
        <v>552.815793057377</v>
      </c>
      <c r="H96">
        <v>-184.81579305737705</v>
      </c>
      <c r="I96">
        <v>-1.7536441921002612</v>
      </c>
      <c r="K96">
        <v>81.03448275862068</v>
      </c>
      <c r="L96">
        <v>637.0</v>
      </c>
    </row>
    <row r="97" ht="15.75" customHeight="1">
      <c r="F97">
        <v>72.0</v>
      </c>
      <c r="G97">
        <v>552.6489711271715</v>
      </c>
      <c r="H97">
        <v>54.351028872828465</v>
      </c>
      <c r="I97">
        <v>0.5157154837298943</v>
      </c>
      <c r="K97">
        <v>82.183908045977</v>
      </c>
      <c r="L97">
        <v>645.0</v>
      </c>
    </row>
    <row r="98" ht="15.75" customHeight="1">
      <c r="F98">
        <v>73.0</v>
      </c>
      <c r="G98">
        <v>552.4765884659593</v>
      </c>
      <c r="H98">
        <v>30.523411534040747</v>
      </c>
      <c r="I98">
        <v>0.28962461743266105</v>
      </c>
      <c r="K98">
        <v>83.33333333333333</v>
      </c>
      <c r="L98">
        <v>657.0</v>
      </c>
    </row>
    <row r="99" ht="15.75" customHeight="1">
      <c r="F99">
        <v>74.0</v>
      </c>
      <c r="G99">
        <v>552.304205804747</v>
      </c>
      <c r="H99">
        <v>-2.304205804746971</v>
      </c>
      <c r="I99">
        <v>-0.021863700390819734</v>
      </c>
      <c r="K99">
        <v>84.48275862068964</v>
      </c>
      <c r="L99">
        <v>658.0</v>
      </c>
    </row>
    <row r="100" ht="15.75" customHeight="1">
      <c r="F100">
        <v>75.0</v>
      </c>
      <c r="G100">
        <v>552.1485053365552</v>
      </c>
      <c r="H100">
        <v>27.851494663444782</v>
      </c>
      <c r="I100">
        <v>0.2642718517172297</v>
      </c>
      <c r="K100">
        <v>85.63218390804596</v>
      </c>
      <c r="L100">
        <v>670.0</v>
      </c>
    </row>
    <row r="101" ht="15.75" customHeight="1">
      <c r="F101">
        <v>76.0</v>
      </c>
      <c r="G101">
        <v>551.9761226753429</v>
      </c>
      <c r="H101">
        <v>-29.976122675342936</v>
      </c>
      <c r="I101">
        <v>-0.2844316092347164</v>
      </c>
      <c r="K101">
        <v>86.78160919540228</v>
      </c>
      <c r="L101">
        <v>677.0</v>
      </c>
    </row>
    <row r="102" ht="15.75" customHeight="1">
      <c r="F102">
        <v>77.0</v>
      </c>
      <c r="G102">
        <v>551.8093007451374</v>
      </c>
      <c r="H102">
        <v>46.19069925486258</v>
      </c>
      <c r="I102">
        <v>0.438285333397845</v>
      </c>
      <c r="K102">
        <v>87.9310344827586</v>
      </c>
      <c r="L102">
        <v>679.0</v>
      </c>
    </row>
    <row r="103" ht="15.75" customHeight="1">
      <c r="F103">
        <v>78.0</v>
      </c>
      <c r="G103">
        <v>551.6369180839251</v>
      </c>
      <c r="H103">
        <v>42.36308191607486</v>
      </c>
      <c r="I103">
        <v>0.401966581603384</v>
      </c>
      <c r="K103">
        <v>89.08045977011493</v>
      </c>
      <c r="L103">
        <v>685.0</v>
      </c>
    </row>
    <row r="104" ht="15.75" customHeight="1">
      <c r="F104">
        <v>79.0</v>
      </c>
      <c r="G104">
        <v>551.4700961537197</v>
      </c>
      <c r="H104">
        <v>146.52990384628026</v>
      </c>
      <c r="I104">
        <v>1.3903644845398255</v>
      </c>
      <c r="K104">
        <v>90.22988505747125</v>
      </c>
      <c r="L104">
        <v>698.0</v>
      </c>
    </row>
    <row r="105" ht="15.75" customHeight="1">
      <c r="F105">
        <v>80.0</v>
      </c>
      <c r="G105">
        <v>551.2977134925075</v>
      </c>
      <c r="H105">
        <v>93.70228650749254</v>
      </c>
      <c r="I105">
        <v>0.8891040522135725</v>
      </c>
      <c r="K105">
        <v>91.37931034482757</v>
      </c>
      <c r="L105">
        <v>700.0</v>
      </c>
    </row>
    <row r="106" ht="15.75" customHeight="1">
      <c r="F106">
        <v>81.0</v>
      </c>
      <c r="G106">
        <v>551.1253308312951</v>
      </c>
      <c r="H106">
        <v>189.87466916870494</v>
      </c>
      <c r="I106">
        <v>1.8016458729329738</v>
      </c>
      <c r="K106">
        <v>92.5287356321839</v>
      </c>
      <c r="L106">
        <v>724.0</v>
      </c>
    </row>
    <row r="107" ht="15.75" customHeight="1">
      <c r="F107">
        <v>82.0</v>
      </c>
      <c r="G107">
        <v>550.9585089010897</v>
      </c>
      <c r="H107">
        <v>75.04149109891034</v>
      </c>
      <c r="I107">
        <v>0.712039122064059</v>
      </c>
      <c r="K107">
        <v>93.67816091954022</v>
      </c>
      <c r="L107">
        <v>733.0</v>
      </c>
    </row>
    <row r="108" ht="15.75" customHeight="1">
      <c r="F108">
        <v>83.0</v>
      </c>
      <c r="G108">
        <v>550.7861262398774</v>
      </c>
      <c r="H108">
        <v>-49.786126239877376</v>
      </c>
      <c r="I108">
        <v>-0.47240092247217425</v>
      </c>
      <c r="K108">
        <v>94.82758620689654</v>
      </c>
      <c r="L108">
        <v>740.0</v>
      </c>
    </row>
    <row r="109" ht="15.75" customHeight="1">
      <c r="F109">
        <v>84.0</v>
      </c>
      <c r="G109">
        <v>550.6193043096719</v>
      </c>
      <c r="H109">
        <v>-139.61930430967186</v>
      </c>
      <c r="I109">
        <v>-1.3247925302126227</v>
      </c>
      <c r="K109">
        <v>95.97701149425286</v>
      </c>
      <c r="L109">
        <v>741.0</v>
      </c>
    </row>
    <row r="110" ht="15.75" customHeight="1">
      <c r="F110">
        <v>85.0</v>
      </c>
      <c r="G110">
        <v>550.4469216484596</v>
      </c>
      <c r="H110">
        <v>-164.44692164845958</v>
      </c>
      <c r="I110">
        <v>-1.5603720022349945</v>
      </c>
      <c r="K110">
        <v>97.12643678160919</v>
      </c>
      <c r="L110">
        <v>758.0</v>
      </c>
    </row>
    <row r="111" ht="15.75" customHeight="1">
      <c r="F111">
        <v>86.0</v>
      </c>
      <c r="G111">
        <v>550.2745389872473</v>
      </c>
      <c r="H111">
        <v>-144.2745389872473</v>
      </c>
      <c r="I111">
        <v>-1.3689642166261289</v>
      </c>
      <c r="K111">
        <v>98.27586206896551</v>
      </c>
      <c r="L111">
        <v>763.0</v>
      </c>
    </row>
    <row r="112" ht="15.75" customHeight="1">
      <c r="F112" s="11">
        <v>87.0</v>
      </c>
      <c r="G112" s="11">
        <v>550.1188385190555</v>
      </c>
      <c r="H112" s="11">
        <v>38.881161480944456</v>
      </c>
      <c r="I112" s="11">
        <v>0.36892801142812853</v>
      </c>
      <c r="K112" s="11">
        <v>99.42528735632183</v>
      </c>
      <c r="L112" s="11">
        <v>805.0</v>
      </c>
    </row>
  </sheetData>
  <mergeCells count="1">
    <mergeCell ref="F4:G4"/>
  </mergeCells>
  <dataValidations>
    <dataValidation type="custom" allowBlank="1" showDropDown="1" sqref="A2:D88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14"/>
    <col customWidth="1" min="4" max="16" width="11.71"/>
    <col customWidth="1" min="17" max="26" width="12.57"/>
  </cols>
  <sheetData>
    <row r="1" ht="22.5" customHeight="1">
      <c r="A1" s="6" t="s">
        <v>0</v>
      </c>
      <c r="B1" s="6" t="s">
        <v>2</v>
      </c>
      <c r="C1" s="6" t="s">
        <v>54</v>
      </c>
      <c r="D1" s="6" t="s">
        <v>4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  <c r="P1" s="6" t="s">
        <v>97</v>
      </c>
    </row>
    <row r="2" ht="22.5" customHeight="1">
      <c r="A2" s="7">
        <v>2019.0</v>
      </c>
      <c r="B2" s="7">
        <v>1.0</v>
      </c>
      <c r="C2" s="8" t="str">
        <f>DATE('MODELO 2'!$A2,'MODELO 2'!$B2,1)</f>
        <v>1/1/2019</v>
      </c>
      <c r="D2" s="7">
        <v>589.0</v>
      </c>
      <c r="E2" s="7" t="str">
        <f>IF('MODELO 2'!$B2=E$89,1,0)</f>
        <v>1</v>
      </c>
      <c r="F2" s="7" t="str">
        <f>IF('MODELO 2'!$B2=F$89,1,0)</f>
        <v>0</v>
      </c>
      <c r="G2" s="7" t="str">
        <f>IF('MODELO 2'!$B2=G$89,1,0)</f>
        <v>0</v>
      </c>
      <c r="H2" s="7" t="str">
        <f>IF('MODELO 2'!$B2=H$89,1,0)</f>
        <v>0</v>
      </c>
      <c r="I2" s="7" t="str">
        <f>IF('MODELO 2'!$B2=I$89,1,0)</f>
        <v>0</v>
      </c>
      <c r="J2" s="7" t="str">
        <f>IF('MODELO 2'!$B2=J$89,1,0)</f>
        <v>0</v>
      </c>
      <c r="K2" s="7" t="str">
        <f>IF('MODELO 2'!$B2=K$89,1,0)</f>
        <v>0</v>
      </c>
      <c r="L2" s="7" t="str">
        <f>IF('MODELO 2'!$B2=L$89,1,0)</f>
        <v>0</v>
      </c>
      <c r="M2" s="7" t="str">
        <f>IF('MODELO 2'!$B2=M$89,1,0)</f>
        <v>0</v>
      </c>
      <c r="N2" s="7" t="str">
        <f>IF('MODELO 2'!$B2=N$89,1,0)</f>
        <v>0</v>
      </c>
      <c r="O2" s="7" t="str">
        <f>IF('MODELO 2'!$B2=O$89,1,0)</f>
        <v>0</v>
      </c>
      <c r="P2" s="7" t="str">
        <f>IF('MODELO 2'!$B2=P$89,1,0)</f>
        <v>0</v>
      </c>
      <c r="R2" t="s">
        <v>55</v>
      </c>
    </row>
    <row r="3" ht="22.5" customHeight="1">
      <c r="A3" s="7">
        <v>2019.0</v>
      </c>
      <c r="B3" s="7">
        <v>2.0</v>
      </c>
      <c r="C3" s="8" t="str">
        <f>DATE('MODELO 2'!$A3,'MODELO 2'!$B3,1)</f>
        <v>2/1/2019</v>
      </c>
      <c r="D3" s="7">
        <v>601.0</v>
      </c>
      <c r="E3" s="7" t="str">
        <f>IF('MODELO 2'!$B3=E$89,1,0)</f>
        <v>0</v>
      </c>
      <c r="F3" s="7" t="str">
        <f>IF('MODELO 2'!$B3=F$89,1,0)</f>
        <v>1</v>
      </c>
      <c r="G3" s="7" t="str">
        <f>IF('MODELO 2'!$B3=G$89,1,0)</f>
        <v>0</v>
      </c>
      <c r="H3" s="7" t="str">
        <f>IF('MODELO 2'!$B3=H$89,1,0)</f>
        <v>0</v>
      </c>
      <c r="I3" s="7" t="str">
        <f>IF('MODELO 2'!$B3=I$89,1,0)</f>
        <v>0</v>
      </c>
      <c r="J3" s="7" t="str">
        <f>IF('MODELO 2'!$B3=J$89,1,0)</f>
        <v>0</v>
      </c>
      <c r="K3" s="7" t="str">
        <f>IF('MODELO 2'!$B3=K$89,1,0)</f>
        <v>0</v>
      </c>
      <c r="L3" s="7" t="str">
        <f>IF('MODELO 2'!$B3=L$89,1,0)</f>
        <v>0</v>
      </c>
      <c r="M3" s="7" t="str">
        <f>IF('MODELO 2'!$B3=M$89,1,0)</f>
        <v>0</v>
      </c>
      <c r="N3" s="7" t="str">
        <f>IF('MODELO 2'!$B3=N$89,1,0)</f>
        <v>0</v>
      </c>
      <c r="O3" s="7" t="str">
        <f>IF('MODELO 2'!$B3=O$89,1,0)</f>
        <v>0</v>
      </c>
      <c r="P3" s="7" t="str">
        <f>IF('MODELO 2'!$B3=P$89,1,0)</f>
        <v>0</v>
      </c>
    </row>
    <row r="4" ht="22.5" customHeight="1">
      <c r="A4" s="7">
        <v>2019.0</v>
      </c>
      <c r="B4" s="7">
        <v>3.0</v>
      </c>
      <c r="C4" s="8" t="str">
        <f>DATE('MODELO 2'!$A4,'MODELO 2'!$B4,1)</f>
        <v>3/1/2019</v>
      </c>
      <c r="D4" s="7">
        <v>579.0</v>
      </c>
      <c r="E4" s="7" t="str">
        <f>IF('MODELO 2'!$B4=E$89,1,0)</f>
        <v>0</v>
      </c>
      <c r="F4" s="7" t="str">
        <f>IF('MODELO 2'!$B4=F$89,1,0)</f>
        <v>0</v>
      </c>
      <c r="G4" s="7" t="str">
        <f>IF('MODELO 2'!$B4=G$89,1,0)</f>
        <v>1</v>
      </c>
      <c r="H4" s="7" t="str">
        <f>IF('MODELO 2'!$B4=H$89,1,0)</f>
        <v>0</v>
      </c>
      <c r="I4" s="7" t="str">
        <f>IF('MODELO 2'!$B4=I$89,1,0)</f>
        <v>0</v>
      </c>
      <c r="J4" s="7" t="str">
        <f>IF('MODELO 2'!$B4=J$89,1,0)</f>
        <v>0</v>
      </c>
      <c r="K4" s="7" t="str">
        <f>IF('MODELO 2'!$B4=K$89,1,0)</f>
        <v>0</v>
      </c>
      <c r="L4" s="7" t="str">
        <f>IF('MODELO 2'!$B4=L$89,1,0)</f>
        <v>0</v>
      </c>
      <c r="M4" s="7" t="str">
        <f>IF('MODELO 2'!$B4=M$89,1,0)</f>
        <v>0</v>
      </c>
      <c r="N4" s="7" t="str">
        <f>IF('MODELO 2'!$B4=N$89,1,0)</f>
        <v>0</v>
      </c>
      <c r="O4" s="7" t="str">
        <f>IF('MODELO 2'!$B4=O$89,1,0)</f>
        <v>0</v>
      </c>
      <c r="P4" s="7" t="str">
        <f>IF('MODELO 2'!$B4=P$89,1,0)</f>
        <v>0</v>
      </c>
      <c r="R4" s="10" t="s">
        <v>56</v>
      </c>
      <c r="S4" s="12"/>
    </row>
    <row r="5" ht="22.5" customHeight="1">
      <c r="A5" s="7">
        <v>2019.0</v>
      </c>
      <c r="B5" s="7">
        <v>4.0</v>
      </c>
      <c r="C5" s="8" t="str">
        <f>DATE('MODELO 2'!$A5,'MODELO 2'!$B5,1)</f>
        <v>4/1/2019</v>
      </c>
      <c r="D5" s="7">
        <v>614.0</v>
      </c>
      <c r="E5" s="7" t="str">
        <f>IF('MODELO 2'!$B5=E$89,1,0)</f>
        <v>0</v>
      </c>
      <c r="F5" s="7" t="str">
        <f>IF('MODELO 2'!$B5=F$89,1,0)</f>
        <v>0</v>
      </c>
      <c r="G5" s="7" t="str">
        <f>IF('MODELO 2'!$B5=G$89,1,0)</f>
        <v>0</v>
      </c>
      <c r="H5" s="7" t="str">
        <f>IF('MODELO 2'!$B5=H$89,1,0)</f>
        <v>1</v>
      </c>
      <c r="I5" s="7" t="str">
        <f>IF('MODELO 2'!$B5=I$89,1,0)</f>
        <v>0</v>
      </c>
      <c r="J5" s="7" t="str">
        <f>IF('MODELO 2'!$B5=J$89,1,0)</f>
        <v>0</v>
      </c>
      <c r="K5" s="7" t="str">
        <f>IF('MODELO 2'!$B5=K$89,1,0)</f>
        <v>0</v>
      </c>
      <c r="L5" s="7" t="str">
        <f>IF('MODELO 2'!$B5=L$89,1,0)</f>
        <v>0</v>
      </c>
      <c r="M5" s="7" t="str">
        <f>IF('MODELO 2'!$B5=M$89,1,0)</f>
        <v>0</v>
      </c>
      <c r="N5" s="7" t="str">
        <f>IF('MODELO 2'!$B5=N$89,1,0)</f>
        <v>0</v>
      </c>
      <c r="O5" s="7" t="str">
        <f>IF('MODELO 2'!$B5=O$89,1,0)</f>
        <v>0</v>
      </c>
      <c r="P5" s="7" t="str">
        <f>IF('MODELO 2'!$B5=P$89,1,0)</f>
        <v>0</v>
      </c>
      <c r="R5" t="s">
        <v>57</v>
      </c>
      <c r="S5">
        <v>0.4851547904290362</v>
      </c>
    </row>
    <row r="6" ht="22.5" customHeight="1">
      <c r="A6" s="7">
        <v>2019.0</v>
      </c>
      <c r="B6" s="7">
        <v>5.0</v>
      </c>
      <c r="C6" s="8" t="str">
        <f>DATE('MODELO 2'!$A6,'MODELO 2'!$B6,1)</f>
        <v>5/1/2019</v>
      </c>
      <c r="D6" s="7">
        <v>670.0</v>
      </c>
      <c r="E6" s="7" t="str">
        <f>IF('MODELO 2'!$B6=E$89,1,0)</f>
        <v>0</v>
      </c>
      <c r="F6" s="7" t="str">
        <f>IF('MODELO 2'!$B6=F$89,1,0)</f>
        <v>0</v>
      </c>
      <c r="G6" s="7" t="str">
        <f>IF('MODELO 2'!$B6=G$89,1,0)</f>
        <v>0</v>
      </c>
      <c r="H6" s="7" t="str">
        <f>IF('MODELO 2'!$B6=H$89,1,0)</f>
        <v>0</v>
      </c>
      <c r="I6" s="7" t="str">
        <f>IF('MODELO 2'!$B6=I$89,1,0)</f>
        <v>1</v>
      </c>
      <c r="J6" s="7" t="str">
        <f>IF('MODELO 2'!$B6=J$89,1,0)</f>
        <v>0</v>
      </c>
      <c r="K6" s="7" t="str">
        <f>IF('MODELO 2'!$B6=K$89,1,0)</f>
        <v>0</v>
      </c>
      <c r="L6" s="7" t="str">
        <f>IF('MODELO 2'!$B6=L$89,1,0)</f>
        <v>0</v>
      </c>
      <c r="M6" s="7" t="str">
        <f>IF('MODELO 2'!$B6=M$89,1,0)</f>
        <v>0</v>
      </c>
      <c r="N6" s="7" t="str">
        <f>IF('MODELO 2'!$B6=N$89,1,0)</f>
        <v>0</v>
      </c>
      <c r="O6" s="7" t="str">
        <f>IF('MODELO 2'!$B6=O$89,1,0)</f>
        <v>0</v>
      </c>
      <c r="P6" s="7" t="str">
        <f>IF('MODELO 2'!$B6=P$89,1,0)</f>
        <v>0</v>
      </c>
      <c r="R6" t="s">
        <v>58</v>
      </c>
      <c r="S6" s="13">
        <v>0.23537517067624206</v>
      </c>
    </row>
    <row r="7" ht="22.5" customHeight="1">
      <c r="A7" s="7">
        <v>2019.0</v>
      </c>
      <c r="B7" s="7">
        <v>6.0</v>
      </c>
      <c r="C7" s="8" t="str">
        <f>DATE('MODELO 2'!$A7,'MODELO 2'!$B7,1)</f>
        <v>6/1/2019</v>
      </c>
      <c r="D7" s="7">
        <v>636.0</v>
      </c>
      <c r="E7" s="7" t="str">
        <f>IF('MODELO 2'!$B7=E$89,1,0)</f>
        <v>0</v>
      </c>
      <c r="F7" s="7" t="str">
        <f>IF('MODELO 2'!$B7=F$89,1,0)</f>
        <v>0</v>
      </c>
      <c r="G7" s="7" t="str">
        <f>IF('MODELO 2'!$B7=G$89,1,0)</f>
        <v>0</v>
      </c>
      <c r="H7" s="7" t="str">
        <f>IF('MODELO 2'!$B7=H$89,1,0)</f>
        <v>0</v>
      </c>
      <c r="I7" s="7" t="str">
        <f>IF('MODELO 2'!$B7=I$89,1,0)</f>
        <v>0</v>
      </c>
      <c r="J7" s="7" t="str">
        <f>IF('MODELO 2'!$B7=J$89,1,0)</f>
        <v>1</v>
      </c>
      <c r="K7" s="7" t="str">
        <f>IF('MODELO 2'!$B7=K$89,1,0)</f>
        <v>0</v>
      </c>
      <c r="L7" s="7" t="str">
        <f>IF('MODELO 2'!$B7=L$89,1,0)</f>
        <v>0</v>
      </c>
      <c r="M7" s="7" t="str">
        <f>IF('MODELO 2'!$B7=M$89,1,0)</f>
        <v>0</v>
      </c>
      <c r="N7" s="7" t="str">
        <f>IF('MODELO 2'!$B7=N$89,1,0)</f>
        <v>0</v>
      </c>
      <c r="O7" s="7" t="str">
        <f>IF('MODELO 2'!$B7=O$89,1,0)</f>
        <v>0</v>
      </c>
      <c r="P7" s="7" t="str">
        <f>IF('MODELO 2'!$B7=P$89,1,0)</f>
        <v>0</v>
      </c>
      <c r="R7" t="s">
        <v>59</v>
      </c>
      <c r="S7" s="13">
        <v>0.10989686237542425</v>
      </c>
    </row>
    <row r="8" ht="22.5" customHeight="1">
      <c r="A8" s="7">
        <v>2019.0</v>
      </c>
      <c r="B8" s="7">
        <v>7.0</v>
      </c>
      <c r="C8" s="8" t="str">
        <f>DATE('MODELO 2'!$A8,'MODELO 2'!$B8,1)</f>
        <v>7/1/2019</v>
      </c>
      <c r="D8" s="7">
        <v>763.0</v>
      </c>
      <c r="E8" s="7" t="str">
        <f>IF('MODELO 2'!$B8=E$89,1,0)</f>
        <v>0</v>
      </c>
      <c r="F8" s="7" t="str">
        <f>IF('MODELO 2'!$B8=F$89,1,0)</f>
        <v>0</v>
      </c>
      <c r="G8" s="7" t="str">
        <f>IF('MODELO 2'!$B8=G$89,1,0)</f>
        <v>0</v>
      </c>
      <c r="H8" s="7" t="str">
        <f>IF('MODELO 2'!$B8=H$89,1,0)</f>
        <v>0</v>
      </c>
      <c r="I8" s="7" t="str">
        <f>IF('MODELO 2'!$B8=I$89,1,0)</f>
        <v>0</v>
      </c>
      <c r="J8" s="7" t="str">
        <f>IF('MODELO 2'!$B8=J$89,1,0)</f>
        <v>0</v>
      </c>
      <c r="K8" s="7" t="str">
        <f>IF('MODELO 2'!$B8=K$89,1,0)</f>
        <v>1</v>
      </c>
      <c r="L8" s="7" t="str">
        <f>IF('MODELO 2'!$B8=L$89,1,0)</f>
        <v>0</v>
      </c>
      <c r="M8" s="7" t="str">
        <f>IF('MODELO 2'!$B8=M$89,1,0)</f>
        <v>0</v>
      </c>
      <c r="N8" s="7" t="str">
        <f>IF('MODELO 2'!$B8=N$89,1,0)</f>
        <v>0</v>
      </c>
      <c r="O8" s="7" t="str">
        <f>IF('MODELO 2'!$B8=O$89,1,0)</f>
        <v>0</v>
      </c>
      <c r="P8" s="7" t="str">
        <f>IF('MODELO 2'!$B8=P$89,1,0)</f>
        <v>0</v>
      </c>
      <c r="R8" t="s">
        <v>60</v>
      </c>
      <c r="S8">
        <v>98.76373442764928</v>
      </c>
    </row>
    <row r="9" ht="22.5" customHeight="1">
      <c r="A9" s="7">
        <v>2019.0</v>
      </c>
      <c r="B9" s="7">
        <v>8.0</v>
      </c>
      <c r="C9" s="8" t="str">
        <f>DATE('MODELO 2'!$A9,'MODELO 2'!$B9,1)</f>
        <v>8/1/2019</v>
      </c>
      <c r="D9" s="7">
        <v>805.0</v>
      </c>
      <c r="E9" s="7" t="str">
        <f>IF('MODELO 2'!$B9=E$89,1,0)</f>
        <v>0</v>
      </c>
      <c r="F9" s="7" t="str">
        <f>IF('MODELO 2'!$B9=F$89,1,0)</f>
        <v>0</v>
      </c>
      <c r="G9" s="7" t="str">
        <f>IF('MODELO 2'!$B9=G$89,1,0)</f>
        <v>0</v>
      </c>
      <c r="H9" s="7" t="str">
        <f>IF('MODELO 2'!$B9=H$89,1,0)</f>
        <v>0</v>
      </c>
      <c r="I9" s="7" t="str">
        <f>IF('MODELO 2'!$B9=I$89,1,0)</f>
        <v>0</v>
      </c>
      <c r="J9" s="7" t="str">
        <f>IF('MODELO 2'!$B9=J$89,1,0)</f>
        <v>0</v>
      </c>
      <c r="K9" s="7" t="str">
        <f>IF('MODELO 2'!$B9=K$89,1,0)</f>
        <v>0</v>
      </c>
      <c r="L9" s="7" t="str">
        <f>IF('MODELO 2'!$B9=L$89,1,0)</f>
        <v>1</v>
      </c>
      <c r="M9" s="7" t="str">
        <f>IF('MODELO 2'!$B9=M$89,1,0)</f>
        <v>0</v>
      </c>
      <c r="N9" s="7" t="str">
        <f>IF('MODELO 2'!$B9=N$89,1,0)</f>
        <v>0</v>
      </c>
      <c r="O9" s="7" t="str">
        <f>IF('MODELO 2'!$B9=O$89,1,0)</f>
        <v>0</v>
      </c>
      <c r="P9" s="7" t="str">
        <f>IF('MODELO 2'!$B9=P$89,1,0)</f>
        <v>0</v>
      </c>
      <c r="R9" s="11" t="s">
        <v>61</v>
      </c>
      <c r="S9" s="11">
        <v>87.0</v>
      </c>
    </row>
    <row r="10" ht="22.5" customHeight="1">
      <c r="A10" s="7">
        <v>2019.0</v>
      </c>
      <c r="B10" s="7">
        <v>9.0</v>
      </c>
      <c r="C10" s="8" t="str">
        <f>DATE('MODELO 2'!$A10,'MODELO 2'!$B10,1)</f>
        <v>9/1/2019</v>
      </c>
      <c r="D10" s="7">
        <v>612.0</v>
      </c>
      <c r="E10" s="7" t="str">
        <f>IF('MODELO 2'!$B10=E$89,1,0)</f>
        <v>0</v>
      </c>
      <c r="F10" s="7" t="str">
        <f>IF('MODELO 2'!$B10=F$89,1,0)</f>
        <v>0</v>
      </c>
      <c r="G10" s="7" t="str">
        <f>IF('MODELO 2'!$B10=G$89,1,0)</f>
        <v>0</v>
      </c>
      <c r="H10" s="7" t="str">
        <f>IF('MODELO 2'!$B10=H$89,1,0)</f>
        <v>0</v>
      </c>
      <c r="I10" s="7" t="str">
        <f>IF('MODELO 2'!$B10=I$89,1,0)</f>
        <v>0</v>
      </c>
      <c r="J10" s="7" t="str">
        <f>IF('MODELO 2'!$B10=J$89,1,0)</f>
        <v>0</v>
      </c>
      <c r="K10" s="7" t="str">
        <f>IF('MODELO 2'!$B10=K$89,1,0)</f>
        <v>0</v>
      </c>
      <c r="L10" s="7" t="str">
        <f>IF('MODELO 2'!$B10=L$89,1,0)</f>
        <v>0</v>
      </c>
      <c r="M10" s="7" t="str">
        <f>IF('MODELO 2'!$B10=M$89,1,0)</f>
        <v>1</v>
      </c>
      <c r="N10" s="7" t="str">
        <f>IF('MODELO 2'!$B10=N$89,1,0)</f>
        <v>0</v>
      </c>
      <c r="O10" s="7" t="str">
        <f>IF('MODELO 2'!$B10=O$89,1,0)</f>
        <v>0</v>
      </c>
      <c r="P10" s="7" t="str">
        <f>IF('MODELO 2'!$B10=P$89,1,0)</f>
        <v>0</v>
      </c>
    </row>
    <row r="11" ht="22.5" customHeight="1">
      <c r="A11" s="7">
        <v>2019.0</v>
      </c>
      <c r="B11" s="7">
        <v>10.0</v>
      </c>
      <c r="C11" s="8" t="str">
        <f>DATE('MODELO 2'!$A11,'MODELO 2'!$B11,1)</f>
        <v>10/1/2019</v>
      </c>
      <c r="D11" s="7">
        <v>679.0</v>
      </c>
      <c r="E11" s="7" t="str">
        <f>IF('MODELO 2'!$B11=E$89,1,0)</f>
        <v>0</v>
      </c>
      <c r="F11" s="7" t="str">
        <f>IF('MODELO 2'!$B11=F$89,1,0)</f>
        <v>0</v>
      </c>
      <c r="G11" s="7" t="str">
        <f>IF('MODELO 2'!$B11=G$89,1,0)</f>
        <v>0</v>
      </c>
      <c r="H11" s="7" t="str">
        <f>IF('MODELO 2'!$B11=H$89,1,0)</f>
        <v>0</v>
      </c>
      <c r="I11" s="7" t="str">
        <f>IF('MODELO 2'!$B11=I$89,1,0)</f>
        <v>0</v>
      </c>
      <c r="J11" s="7" t="str">
        <f>IF('MODELO 2'!$B11=J$89,1,0)</f>
        <v>0</v>
      </c>
      <c r="K11" s="7" t="str">
        <f>IF('MODELO 2'!$B11=K$89,1,0)</f>
        <v>0</v>
      </c>
      <c r="L11" s="7" t="str">
        <f>IF('MODELO 2'!$B11=L$89,1,0)</f>
        <v>0</v>
      </c>
      <c r="M11" s="7" t="str">
        <f>IF('MODELO 2'!$B11=M$89,1,0)</f>
        <v>0</v>
      </c>
      <c r="N11" s="7" t="str">
        <f>IF('MODELO 2'!$B11=N$89,1,0)</f>
        <v>1</v>
      </c>
      <c r="O11" s="7" t="str">
        <f>IF('MODELO 2'!$B11=O$89,1,0)</f>
        <v>0</v>
      </c>
      <c r="P11" s="7" t="str">
        <f>IF('MODELO 2'!$B11=P$89,1,0)</f>
        <v>0</v>
      </c>
      <c r="R11" t="s">
        <v>62</v>
      </c>
    </row>
    <row r="12" ht="22.5" customHeight="1">
      <c r="A12" s="7">
        <v>2019.0</v>
      </c>
      <c r="B12" s="7">
        <v>11.0</v>
      </c>
      <c r="C12" s="8" t="str">
        <f>DATE('MODELO 2'!$A12,'MODELO 2'!$B12,1)</f>
        <v>11/1/2019</v>
      </c>
      <c r="D12" s="7">
        <v>624.0</v>
      </c>
      <c r="E12" s="7" t="str">
        <f>IF('MODELO 2'!$B12=E$89,1,0)</f>
        <v>0</v>
      </c>
      <c r="F12" s="7" t="str">
        <f>IF('MODELO 2'!$B12=F$89,1,0)</f>
        <v>0</v>
      </c>
      <c r="G12" s="7" t="str">
        <f>IF('MODELO 2'!$B12=G$89,1,0)</f>
        <v>0</v>
      </c>
      <c r="H12" s="7" t="str">
        <f>IF('MODELO 2'!$B12=H$89,1,0)</f>
        <v>0</v>
      </c>
      <c r="I12" s="7" t="str">
        <f>IF('MODELO 2'!$B12=I$89,1,0)</f>
        <v>0</v>
      </c>
      <c r="J12" s="7" t="str">
        <f>IF('MODELO 2'!$B12=J$89,1,0)</f>
        <v>0</v>
      </c>
      <c r="K12" s="7" t="str">
        <f>IF('MODELO 2'!$B12=K$89,1,0)</f>
        <v>0</v>
      </c>
      <c r="L12" s="7" t="str">
        <f>IF('MODELO 2'!$B12=L$89,1,0)</f>
        <v>0</v>
      </c>
      <c r="M12" s="7" t="str">
        <f>IF('MODELO 2'!$B12=M$89,1,0)</f>
        <v>0</v>
      </c>
      <c r="N12" s="7" t="str">
        <f>IF('MODELO 2'!$B12=N$89,1,0)</f>
        <v>0</v>
      </c>
      <c r="O12" s="7" t="str">
        <f>IF('MODELO 2'!$B12=O$89,1,0)</f>
        <v>1</v>
      </c>
      <c r="P12" s="7" t="str">
        <f>IF('MODELO 2'!$B12=P$89,1,0)</f>
        <v>0</v>
      </c>
      <c r="R12" s="10"/>
      <c r="S12" s="10" t="s">
        <v>63</v>
      </c>
      <c r="T12" s="10" t="s">
        <v>64</v>
      </c>
      <c r="U12" s="10" t="s">
        <v>65</v>
      </c>
      <c r="V12" s="10" t="s">
        <v>66</v>
      </c>
      <c r="W12" s="10" t="s">
        <v>67</v>
      </c>
    </row>
    <row r="13" ht="22.5" customHeight="1">
      <c r="A13" s="7">
        <v>2019.0</v>
      </c>
      <c r="B13" s="7">
        <v>12.0</v>
      </c>
      <c r="C13" s="8" t="str">
        <f>DATE('MODELO 2'!$A13,'MODELO 2'!$B13,1)</f>
        <v>12/1/2019</v>
      </c>
      <c r="D13" s="7">
        <v>700.0</v>
      </c>
      <c r="E13" s="7" t="str">
        <f>IF('MODELO 2'!$B13=E$89,1,0)</f>
        <v>0</v>
      </c>
      <c r="F13" s="7" t="str">
        <f>IF('MODELO 2'!$B13=F$89,1,0)</f>
        <v>0</v>
      </c>
      <c r="G13" s="7" t="str">
        <f>IF('MODELO 2'!$B13=G$89,1,0)</f>
        <v>0</v>
      </c>
      <c r="H13" s="7" t="str">
        <f>IF('MODELO 2'!$B13=H$89,1,0)</f>
        <v>0</v>
      </c>
      <c r="I13" s="7" t="str">
        <f>IF('MODELO 2'!$B13=I$89,1,0)</f>
        <v>0</v>
      </c>
      <c r="J13" s="7" t="str">
        <f>IF('MODELO 2'!$B13=J$89,1,0)</f>
        <v>0</v>
      </c>
      <c r="K13" s="7" t="str">
        <f>IF('MODELO 2'!$B13=K$89,1,0)</f>
        <v>0</v>
      </c>
      <c r="L13" s="7" t="str">
        <f>IF('MODELO 2'!$B13=L$89,1,0)</f>
        <v>0</v>
      </c>
      <c r="M13" s="7" t="str">
        <f>IF('MODELO 2'!$B13=M$89,1,0)</f>
        <v>0</v>
      </c>
      <c r="N13" s="7" t="str">
        <f>IF('MODELO 2'!$B13=N$89,1,0)</f>
        <v>0</v>
      </c>
      <c r="O13" s="7" t="str">
        <f>IF('MODELO 2'!$B13=O$89,1,0)</f>
        <v>0</v>
      </c>
      <c r="P13" s="7" t="str">
        <f>IF('MODELO 2'!$B13=P$89,1,0)</f>
        <v>1</v>
      </c>
      <c r="R13" t="s">
        <v>68</v>
      </c>
      <c r="S13">
        <v>12.0</v>
      </c>
      <c r="T13">
        <v>225200.06978653546</v>
      </c>
      <c r="U13">
        <v>18766.67248221129</v>
      </c>
      <c r="V13">
        <v>2.098847235415471</v>
      </c>
      <c r="W13">
        <v>0.0270181300163829</v>
      </c>
    </row>
    <row r="14" ht="22.5" customHeight="1">
      <c r="A14" s="7">
        <v>2020.0</v>
      </c>
      <c r="B14" s="7">
        <v>1.0</v>
      </c>
      <c r="C14" s="8" t="str">
        <f>DATE('MODELO 2'!$A14,'MODELO 2'!$B14,1)</f>
        <v>1/1/2020</v>
      </c>
      <c r="D14" s="7">
        <v>597.0</v>
      </c>
      <c r="E14" s="7" t="str">
        <f>IF('MODELO 2'!$B14=E$89,1,0)</f>
        <v>1</v>
      </c>
      <c r="F14" s="7" t="str">
        <f>IF('MODELO 2'!$B14=F$89,1,0)</f>
        <v>0</v>
      </c>
      <c r="G14" s="7" t="str">
        <f>IF('MODELO 2'!$B14=G$89,1,0)</f>
        <v>0</v>
      </c>
      <c r="H14" s="7" t="str">
        <f>IF('MODELO 2'!$B14=H$89,1,0)</f>
        <v>0</v>
      </c>
      <c r="I14" s="7" t="str">
        <f>IF('MODELO 2'!$B14=I$89,1,0)</f>
        <v>0</v>
      </c>
      <c r="J14" s="7" t="str">
        <f>IF('MODELO 2'!$B14=J$89,1,0)</f>
        <v>0</v>
      </c>
      <c r="K14" s="7" t="str">
        <f>IF('MODELO 2'!$B14=K$89,1,0)</f>
        <v>0</v>
      </c>
      <c r="L14" s="7" t="str">
        <f>IF('MODELO 2'!$B14=L$89,1,0)</f>
        <v>0</v>
      </c>
      <c r="M14" s="7" t="str">
        <f>IF('MODELO 2'!$B14=M$89,1,0)</f>
        <v>0</v>
      </c>
      <c r="N14" s="7" t="str">
        <f>IF('MODELO 2'!$B14=N$89,1,0)</f>
        <v>0</v>
      </c>
      <c r="O14" s="7" t="str">
        <f>IF('MODELO 2'!$B14=O$89,1,0)</f>
        <v>0</v>
      </c>
      <c r="P14" s="7" t="str">
        <f>IF('MODELO 2'!$B14=P$89,1,0)</f>
        <v>0</v>
      </c>
      <c r="R14" t="s">
        <v>69</v>
      </c>
      <c r="S14">
        <v>75.0</v>
      </c>
      <c r="T14">
        <v>731570.6428571426</v>
      </c>
      <c r="U14">
        <v>9754.275238095235</v>
      </c>
    </row>
    <row r="15" ht="22.5" customHeight="1">
      <c r="A15" s="7">
        <v>2020.0</v>
      </c>
      <c r="B15" s="7">
        <v>2.0</v>
      </c>
      <c r="C15" s="8" t="str">
        <f>DATE('MODELO 2'!$A15,'MODELO 2'!$B15,1)</f>
        <v>2/1/2020</v>
      </c>
      <c r="D15" s="7">
        <v>526.0</v>
      </c>
      <c r="E15" s="7" t="str">
        <f>IF('MODELO 2'!$B15=E$89,1,0)</f>
        <v>0</v>
      </c>
      <c r="F15" s="7" t="str">
        <f>IF('MODELO 2'!$B15=F$89,1,0)</f>
        <v>1</v>
      </c>
      <c r="G15" s="7" t="str">
        <f>IF('MODELO 2'!$B15=G$89,1,0)</f>
        <v>0</v>
      </c>
      <c r="H15" s="7" t="str">
        <f>IF('MODELO 2'!$B15=H$89,1,0)</f>
        <v>0</v>
      </c>
      <c r="I15" s="7" t="str">
        <f>IF('MODELO 2'!$B15=I$89,1,0)</f>
        <v>0</v>
      </c>
      <c r="J15" s="7" t="str">
        <f>IF('MODELO 2'!$B15=J$89,1,0)</f>
        <v>0</v>
      </c>
      <c r="K15" s="7" t="str">
        <f>IF('MODELO 2'!$B15=K$89,1,0)</f>
        <v>0</v>
      </c>
      <c r="L15" s="7" t="str">
        <f>IF('MODELO 2'!$B15=L$89,1,0)</f>
        <v>0</v>
      </c>
      <c r="M15" s="7" t="str">
        <f>IF('MODELO 2'!$B15=M$89,1,0)</f>
        <v>0</v>
      </c>
      <c r="N15" s="7" t="str">
        <f>IF('MODELO 2'!$B15=N$89,1,0)</f>
        <v>0</v>
      </c>
      <c r="O15" s="7" t="str">
        <f>IF('MODELO 2'!$B15=O$89,1,0)</f>
        <v>0</v>
      </c>
      <c r="P15" s="7" t="str">
        <f>IF('MODELO 2'!$B15=P$89,1,0)</f>
        <v>0</v>
      </c>
      <c r="R15" s="11" t="s">
        <v>70</v>
      </c>
      <c r="S15" s="11">
        <v>87.0</v>
      </c>
      <c r="T15" s="11">
        <v>956770.7126436781</v>
      </c>
      <c r="U15" s="11"/>
      <c r="V15" s="11"/>
      <c r="W15" s="11"/>
    </row>
    <row r="16" ht="22.5" customHeight="1">
      <c r="A16" s="7">
        <v>2020.0</v>
      </c>
      <c r="B16" s="7">
        <v>3.0</v>
      </c>
      <c r="C16" s="8" t="str">
        <f>DATE('MODELO 2'!$A16,'MODELO 2'!$B16,1)</f>
        <v>3/1/2020</v>
      </c>
      <c r="D16" s="7">
        <v>563.0</v>
      </c>
      <c r="E16" s="7" t="str">
        <f>IF('MODELO 2'!$B16=E$89,1,0)</f>
        <v>0</v>
      </c>
      <c r="F16" s="7" t="str">
        <f>IF('MODELO 2'!$B16=F$89,1,0)</f>
        <v>0</v>
      </c>
      <c r="G16" s="7" t="str">
        <f>IF('MODELO 2'!$B16=G$89,1,0)</f>
        <v>1</v>
      </c>
      <c r="H16" s="7" t="str">
        <f>IF('MODELO 2'!$B16=H$89,1,0)</f>
        <v>0</v>
      </c>
      <c r="I16" s="7" t="str">
        <f>IF('MODELO 2'!$B16=I$89,1,0)</f>
        <v>0</v>
      </c>
      <c r="J16" s="7" t="str">
        <f>IF('MODELO 2'!$B16=J$89,1,0)</f>
        <v>0</v>
      </c>
      <c r="K16" s="7" t="str">
        <f>IF('MODELO 2'!$B16=K$89,1,0)</f>
        <v>0</v>
      </c>
      <c r="L16" s="7" t="str">
        <f>IF('MODELO 2'!$B16=L$89,1,0)</f>
        <v>0</v>
      </c>
      <c r="M16" s="7" t="str">
        <f>IF('MODELO 2'!$B16=M$89,1,0)</f>
        <v>0</v>
      </c>
      <c r="N16" s="7" t="str">
        <f>IF('MODELO 2'!$B16=N$89,1,0)</f>
        <v>0</v>
      </c>
      <c r="O16" s="7" t="str">
        <f>IF('MODELO 2'!$B16=O$89,1,0)</f>
        <v>0</v>
      </c>
      <c r="P16" s="7" t="str">
        <f>IF('MODELO 2'!$B16=P$89,1,0)</f>
        <v>0</v>
      </c>
    </row>
    <row r="17" ht="22.5" customHeight="1">
      <c r="A17" s="7">
        <v>2020.0</v>
      </c>
      <c r="B17" s="7">
        <v>4.0</v>
      </c>
      <c r="C17" s="8" t="str">
        <f>DATE('MODELO 2'!$A17,'MODELO 2'!$B17,1)</f>
        <v>4/1/2020</v>
      </c>
      <c r="D17" s="7">
        <v>340.0</v>
      </c>
      <c r="E17" s="7" t="str">
        <f>IF('MODELO 2'!$B17=E$89,1,0)</f>
        <v>0</v>
      </c>
      <c r="F17" s="7" t="str">
        <f>IF('MODELO 2'!$B17=F$89,1,0)</f>
        <v>0</v>
      </c>
      <c r="G17" s="7" t="str">
        <f>IF('MODELO 2'!$B17=G$89,1,0)</f>
        <v>0</v>
      </c>
      <c r="H17" s="7" t="str">
        <f>IF('MODELO 2'!$B17=H$89,1,0)</f>
        <v>1</v>
      </c>
      <c r="I17" s="7" t="str">
        <f>IF('MODELO 2'!$B17=I$89,1,0)</f>
        <v>0</v>
      </c>
      <c r="J17" s="7" t="str">
        <f>IF('MODELO 2'!$B17=J$89,1,0)</f>
        <v>0</v>
      </c>
      <c r="K17" s="7" t="str">
        <f>IF('MODELO 2'!$B17=K$89,1,0)</f>
        <v>0</v>
      </c>
      <c r="L17" s="7" t="str">
        <f>IF('MODELO 2'!$B17=L$89,1,0)</f>
        <v>0</v>
      </c>
      <c r="M17" s="7" t="str">
        <f>IF('MODELO 2'!$B17=M$89,1,0)</f>
        <v>0</v>
      </c>
      <c r="N17" s="7" t="str">
        <f>IF('MODELO 2'!$B17=N$89,1,0)</f>
        <v>0</v>
      </c>
      <c r="O17" s="7" t="str">
        <f>IF('MODELO 2'!$B17=O$89,1,0)</f>
        <v>0</v>
      </c>
      <c r="P17" s="7" t="str">
        <f>IF('MODELO 2'!$B17=P$89,1,0)</f>
        <v>0</v>
      </c>
      <c r="R17" s="10"/>
      <c r="S17" s="10" t="s">
        <v>71</v>
      </c>
      <c r="T17" s="10" t="s">
        <v>60</v>
      </c>
      <c r="U17" s="10" t="s">
        <v>72</v>
      </c>
      <c r="V17" s="10" t="s">
        <v>73</v>
      </c>
      <c r="W17" s="10" t="s">
        <v>74</v>
      </c>
      <c r="X17" s="10" t="s">
        <v>75</v>
      </c>
      <c r="Y17" s="10" t="s">
        <v>76</v>
      </c>
      <c r="Z17" s="10" t="s">
        <v>77</v>
      </c>
    </row>
    <row r="18" ht="22.5" customHeight="1">
      <c r="A18" s="7">
        <v>2020.0</v>
      </c>
      <c r="B18" s="7">
        <v>5.0</v>
      </c>
      <c r="C18" s="8" t="str">
        <f>DATE('MODELO 2'!$A18,'MODELO 2'!$B18,1)</f>
        <v>5/1/2020</v>
      </c>
      <c r="D18" s="7">
        <v>448.0</v>
      </c>
      <c r="E18" s="7" t="str">
        <f>IF('MODELO 2'!$B18=E$89,1,0)</f>
        <v>0</v>
      </c>
      <c r="F18" s="7" t="str">
        <f>IF('MODELO 2'!$B18=F$89,1,0)</f>
        <v>0</v>
      </c>
      <c r="G18" s="7" t="str">
        <f>IF('MODELO 2'!$B18=G$89,1,0)</f>
        <v>0</v>
      </c>
      <c r="H18" s="7" t="str">
        <f>IF('MODELO 2'!$B18=H$89,1,0)</f>
        <v>0</v>
      </c>
      <c r="I18" s="7" t="str">
        <f>IF('MODELO 2'!$B18=I$89,1,0)</f>
        <v>1</v>
      </c>
      <c r="J18" s="7" t="str">
        <f>IF('MODELO 2'!$B18=J$89,1,0)</f>
        <v>0</v>
      </c>
      <c r="K18" s="7" t="str">
        <f>IF('MODELO 2'!$B18=K$89,1,0)</f>
        <v>0</v>
      </c>
      <c r="L18" s="7" t="str">
        <f>IF('MODELO 2'!$B18=L$89,1,0)</f>
        <v>0</v>
      </c>
      <c r="M18" s="7" t="str">
        <f>IF('MODELO 2'!$B18=M$89,1,0)</f>
        <v>0</v>
      </c>
      <c r="N18" s="7" t="str">
        <f>IF('MODELO 2'!$B18=N$89,1,0)</f>
        <v>0</v>
      </c>
      <c r="O18" s="7" t="str">
        <f>IF('MODELO 2'!$B18=O$89,1,0)</f>
        <v>0</v>
      </c>
      <c r="P18" s="7" t="str">
        <f>IF('MODELO 2'!$B18=P$89,1,0)</f>
        <v>0</v>
      </c>
      <c r="R18" t="s">
        <v>78</v>
      </c>
      <c r="S18">
        <v>513.7142857142858</v>
      </c>
      <c r="T18">
        <v>37.329182835369664</v>
      </c>
      <c r="U18">
        <v>13.76173402937548</v>
      </c>
      <c r="V18">
        <v>3.2666148673470514E-22</v>
      </c>
      <c r="W18">
        <v>439.3507401808024</v>
      </c>
      <c r="X18">
        <v>588.0778312477692</v>
      </c>
      <c r="Y18">
        <v>439.3507401808024</v>
      </c>
      <c r="Z18">
        <v>588.0778312477692</v>
      </c>
    </row>
    <row r="19" ht="22.5" customHeight="1">
      <c r="A19" s="7">
        <v>2020.0</v>
      </c>
      <c r="B19" s="7">
        <v>6.0</v>
      </c>
      <c r="C19" s="8" t="str">
        <f>DATE('MODELO 2'!$A19,'MODELO 2'!$B19,1)</f>
        <v>6/1/2020</v>
      </c>
      <c r="D19" s="7">
        <v>486.0</v>
      </c>
      <c r="E19" s="7" t="str">
        <f>IF('MODELO 2'!$B19=E$89,1,0)</f>
        <v>0</v>
      </c>
      <c r="F19" s="7" t="str">
        <f>IF('MODELO 2'!$B19=F$89,1,0)</f>
        <v>0</v>
      </c>
      <c r="G19" s="7" t="str">
        <f>IF('MODELO 2'!$B19=G$89,1,0)</f>
        <v>0</v>
      </c>
      <c r="H19" s="7" t="str">
        <f>IF('MODELO 2'!$B19=H$89,1,0)</f>
        <v>0</v>
      </c>
      <c r="I19" s="7" t="str">
        <f>IF('MODELO 2'!$B19=I$89,1,0)</f>
        <v>0</v>
      </c>
      <c r="J19" s="7" t="str">
        <f>IF('MODELO 2'!$B19=J$89,1,0)</f>
        <v>1</v>
      </c>
      <c r="K19" s="7" t="str">
        <f>IF('MODELO 2'!$B19=K$89,1,0)</f>
        <v>0</v>
      </c>
      <c r="L19" s="7" t="str">
        <f>IF('MODELO 2'!$B19=L$89,1,0)</f>
        <v>0</v>
      </c>
      <c r="M19" s="7" t="str">
        <f>IF('MODELO 2'!$B19=M$89,1,0)</f>
        <v>0</v>
      </c>
      <c r="N19" s="7" t="str">
        <f>IF('MODELO 2'!$B19=N$89,1,0)</f>
        <v>0</v>
      </c>
      <c r="O19" s="7" t="str">
        <f>IF('MODELO 2'!$B19=O$89,1,0)</f>
        <v>0</v>
      </c>
      <c r="P19" s="7" t="str">
        <f>IF('MODELO 2'!$B19=P$89,1,0)</f>
        <v>0</v>
      </c>
      <c r="R19" t="s">
        <v>86</v>
      </c>
      <c r="S19">
        <v>-20.71428571428588</v>
      </c>
      <c r="T19">
        <v>51.11508873041662</v>
      </c>
      <c r="U19">
        <v>-0.4052479654986807</v>
      </c>
      <c r="V19" s="13">
        <v>0.6864489061610838</v>
      </c>
      <c r="W19">
        <v>-122.54076407616448</v>
      </c>
      <c r="X19">
        <v>81.11219264759272</v>
      </c>
      <c r="Y19">
        <v>-122.54076407616448</v>
      </c>
      <c r="Z19">
        <v>81.11219264759272</v>
      </c>
    </row>
    <row r="20" ht="22.5" customHeight="1">
      <c r="A20" s="7">
        <v>2020.0</v>
      </c>
      <c r="B20" s="7">
        <v>7.0</v>
      </c>
      <c r="C20" s="8" t="str">
        <f>DATE('MODELO 2'!$A20,'MODELO 2'!$B20,1)</f>
        <v>7/1/2020</v>
      </c>
      <c r="D20" s="7">
        <v>517.0</v>
      </c>
      <c r="E20" s="7" t="str">
        <f>IF('MODELO 2'!$B20=E$89,1,0)</f>
        <v>0</v>
      </c>
      <c r="F20" s="7" t="str">
        <f>IF('MODELO 2'!$B20=F$89,1,0)</f>
        <v>0</v>
      </c>
      <c r="G20" s="7" t="str">
        <f>IF('MODELO 2'!$B20=G$89,1,0)</f>
        <v>0</v>
      </c>
      <c r="H20" s="7" t="str">
        <f>IF('MODELO 2'!$B20=H$89,1,0)</f>
        <v>0</v>
      </c>
      <c r="I20" s="7" t="str">
        <f>IF('MODELO 2'!$B20=I$89,1,0)</f>
        <v>0</v>
      </c>
      <c r="J20" s="7" t="str">
        <f>IF('MODELO 2'!$B20=J$89,1,0)</f>
        <v>0</v>
      </c>
      <c r="K20" s="7" t="str">
        <f>IF('MODELO 2'!$B20=K$89,1,0)</f>
        <v>1</v>
      </c>
      <c r="L20" s="7" t="str">
        <f>IF('MODELO 2'!$B20=L$89,1,0)</f>
        <v>0</v>
      </c>
      <c r="M20" s="7" t="str">
        <f>IF('MODELO 2'!$B20=M$89,1,0)</f>
        <v>0</v>
      </c>
      <c r="N20" s="7" t="str">
        <f>IF('MODELO 2'!$B20=N$89,1,0)</f>
        <v>0</v>
      </c>
      <c r="O20" s="7" t="str">
        <f>IF('MODELO 2'!$B20=O$89,1,0)</f>
        <v>0</v>
      </c>
      <c r="P20" s="7" t="str">
        <f>IF('MODELO 2'!$B20=P$89,1,0)</f>
        <v>0</v>
      </c>
      <c r="R20" t="s">
        <v>87</v>
      </c>
      <c r="S20">
        <v>-34.21428571428581</v>
      </c>
      <c r="T20">
        <v>51.11508873041655</v>
      </c>
      <c r="U20">
        <v>-0.6693578464616114</v>
      </c>
      <c r="V20" s="13">
        <v>0.5053226307298087</v>
      </c>
      <c r="W20">
        <v>-136.0407640761643</v>
      </c>
      <c r="X20">
        <v>67.61219264759266</v>
      </c>
      <c r="Y20">
        <v>-136.0407640761643</v>
      </c>
      <c r="Z20">
        <v>67.61219264759266</v>
      </c>
    </row>
    <row r="21" ht="22.5" customHeight="1">
      <c r="A21" s="7">
        <v>2020.0</v>
      </c>
      <c r="B21" s="7">
        <v>8.0</v>
      </c>
      <c r="C21" s="8" t="str">
        <f>DATE('MODELO 2'!$A21,'MODELO 2'!$B21,1)</f>
        <v>8/1/2020</v>
      </c>
      <c r="D21" s="7">
        <v>402.0</v>
      </c>
      <c r="E21" s="7" t="str">
        <f>IF('MODELO 2'!$B21=E$89,1,0)</f>
        <v>0</v>
      </c>
      <c r="F21" s="7" t="str">
        <f>IF('MODELO 2'!$B21=F$89,1,0)</f>
        <v>0</v>
      </c>
      <c r="G21" s="7" t="str">
        <f>IF('MODELO 2'!$B21=G$89,1,0)</f>
        <v>0</v>
      </c>
      <c r="H21" s="7" t="str">
        <f>IF('MODELO 2'!$B21=H$89,1,0)</f>
        <v>0</v>
      </c>
      <c r="I21" s="7" t="str">
        <f>IF('MODELO 2'!$B21=I$89,1,0)</f>
        <v>0</v>
      </c>
      <c r="J21" s="7" t="str">
        <f>IF('MODELO 2'!$B21=J$89,1,0)</f>
        <v>0</v>
      </c>
      <c r="K21" s="7" t="str">
        <f>IF('MODELO 2'!$B21=K$89,1,0)</f>
        <v>0</v>
      </c>
      <c r="L21" s="7" t="str">
        <f>IF('MODELO 2'!$B21=L$89,1,0)</f>
        <v>1</v>
      </c>
      <c r="M21" s="7" t="str">
        <f>IF('MODELO 2'!$B21=M$89,1,0)</f>
        <v>0</v>
      </c>
      <c r="N21" s="7" t="str">
        <f>IF('MODELO 2'!$B21=N$89,1,0)</f>
        <v>0</v>
      </c>
      <c r="O21" s="7" t="str">
        <f>IF('MODELO 2'!$B21=O$89,1,0)</f>
        <v>0</v>
      </c>
      <c r="P21" s="7" t="str">
        <f>IF('MODELO 2'!$B21=P$89,1,0)</f>
        <v>0</v>
      </c>
      <c r="R21" t="s">
        <v>88</v>
      </c>
      <c r="S21">
        <v>11.535714285714064</v>
      </c>
      <c r="T21">
        <v>51.115088730416545</v>
      </c>
      <c r="U21">
        <v>0.22568119457943192</v>
      </c>
      <c r="V21" s="13">
        <v>0.822063239984654</v>
      </c>
      <c r="W21">
        <v>-90.2907640761644</v>
      </c>
      <c r="X21">
        <v>113.36219264759252</v>
      </c>
      <c r="Y21">
        <v>-90.2907640761644</v>
      </c>
      <c r="Z21">
        <v>113.36219264759252</v>
      </c>
    </row>
    <row r="22" ht="22.5" customHeight="1">
      <c r="A22" s="7">
        <v>2020.0</v>
      </c>
      <c r="B22" s="7">
        <v>9.0</v>
      </c>
      <c r="C22" s="8" t="str">
        <f>DATE('MODELO 2'!$A22,'MODELO 2'!$B22,1)</f>
        <v>9/1/2020</v>
      </c>
      <c r="D22" s="7">
        <v>406.0</v>
      </c>
      <c r="E22" s="7" t="str">
        <f>IF('MODELO 2'!$B22=E$89,1,0)</f>
        <v>0</v>
      </c>
      <c r="F22" s="7" t="str">
        <f>IF('MODELO 2'!$B22=F$89,1,0)</f>
        <v>0</v>
      </c>
      <c r="G22" s="7" t="str">
        <f>IF('MODELO 2'!$B22=G$89,1,0)</f>
        <v>0</v>
      </c>
      <c r="H22" s="7" t="str">
        <f>IF('MODELO 2'!$B22=H$89,1,0)</f>
        <v>0</v>
      </c>
      <c r="I22" s="7" t="str">
        <f>IF('MODELO 2'!$B22=I$89,1,0)</f>
        <v>0</v>
      </c>
      <c r="J22" s="7" t="str">
        <f>IF('MODELO 2'!$B22=J$89,1,0)</f>
        <v>0</v>
      </c>
      <c r="K22" s="7" t="str">
        <f>IF('MODELO 2'!$B22=K$89,1,0)</f>
        <v>0</v>
      </c>
      <c r="L22" s="7" t="str">
        <f>IF('MODELO 2'!$B22=L$89,1,0)</f>
        <v>0</v>
      </c>
      <c r="M22" s="7" t="str">
        <f>IF('MODELO 2'!$B22=M$89,1,0)</f>
        <v>1</v>
      </c>
      <c r="N22" s="7" t="str">
        <f>IF('MODELO 2'!$B22=N$89,1,0)</f>
        <v>0</v>
      </c>
      <c r="O22" s="7" t="str">
        <f>IF('MODELO 2'!$B22=O$89,1,0)</f>
        <v>0</v>
      </c>
      <c r="P22" s="7" t="str">
        <f>IF('MODELO 2'!$B22=P$89,1,0)</f>
        <v>0</v>
      </c>
      <c r="R22" t="s">
        <v>89</v>
      </c>
      <c r="S22">
        <v>0.0</v>
      </c>
      <c r="T22">
        <v>0.0</v>
      </c>
      <c r="U22">
        <v>65535.0</v>
      </c>
      <c r="V22" s="13" t="e">
        <v>#NUM!</v>
      </c>
      <c r="W22">
        <v>0.0</v>
      </c>
      <c r="X22">
        <v>0.0</v>
      </c>
      <c r="Y22">
        <v>0.0</v>
      </c>
      <c r="Z22">
        <v>0.0</v>
      </c>
    </row>
    <row r="23" ht="22.5" customHeight="1">
      <c r="A23" s="7">
        <v>2020.0</v>
      </c>
      <c r="B23" s="7">
        <v>10.0</v>
      </c>
      <c r="C23" s="8" t="str">
        <f>DATE('MODELO 2'!$A23,'MODELO 2'!$B23,1)</f>
        <v>10/1/2020</v>
      </c>
      <c r="D23" s="7">
        <v>456.0</v>
      </c>
      <c r="E23" s="7" t="str">
        <f>IF('MODELO 2'!$B23=E$89,1,0)</f>
        <v>0</v>
      </c>
      <c r="F23" s="7" t="str">
        <f>IF('MODELO 2'!$B23=F$89,1,0)</f>
        <v>0</v>
      </c>
      <c r="G23" s="7" t="str">
        <f>IF('MODELO 2'!$B23=G$89,1,0)</f>
        <v>0</v>
      </c>
      <c r="H23" s="7" t="str">
        <f>IF('MODELO 2'!$B23=H$89,1,0)</f>
        <v>0</v>
      </c>
      <c r="I23" s="7" t="str">
        <f>IF('MODELO 2'!$B23=I$89,1,0)</f>
        <v>0</v>
      </c>
      <c r="J23" s="7" t="str">
        <f>IF('MODELO 2'!$B23=J$89,1,0)</f>
        <v>0</v>
      </c>
      <c r="K23" s="7" t="str">
        <f>IF('MODELO 2'!$B23=K$89,1,0)</f>
        <v>0</v>
      </c>
      <c r="L23" s="7" t="str">
        <f>IF('MODELO 2'!$B23=L$89,1,0)</f>
        <v>0</v>
      </c>
      <c r="M23" s="7" t="str">
        <f>IF('MODELO 2'!$B23=M$89,1,0)</f>
        <v>0</v>
      </c>
      <c r="N23" s="7" t="str">
        <f>IF('MODELO 2'!$B23=N$89,1,0)</f>
        <v>1</v>
      </c>
      <c r="O23" s="7" t="str">
        <f>IF('MODELO 2'!$B23=O$89,1,0)</f>
        <v>0</v>
      </c>
      <c r="P23" s="7" t="str">
        <f>IF('MODELO 2'!$B23=P$89,1,0)</f>
        <v>0</v>
      </c>
      <c r="R23" t="s">
        <v>90</v>
      </c>
      <c r="S23">
        <v>58.428571428571324</v>
      </c>
      <c r="T23">
        <v>52.79143663808482</v>
      </c>
      <c r="U23">
        <v>1.1067812347887453</v>
      </c>
      <c r="V23" s="13" t="e">
        <v>#NUM!</v>
      </c>
      <c r="W23">
        <v>-46.737363211030235</v>
      </c>
      <c r="X23">
        <v>163.59450606817288</v>
      </c>
      <c r="Y23">
        <v>-46.737363211030235</v>
      </c>
      <c r="Z23">
        <v>163.59450606817288</v>
      </c>
    </row>
    <row r="24" ht="22.5" customHeight="1">
      <c r="A24" s="7">
        <v>2020.0</v>
      </c>
      <c r="B24" s="7">
        <v>11.0</v>
      </c>
      <c r="C24" s="8" t="str">
        <f>DATE('MODELO 2'!$A24,'MODELO 2'!$B24,1)</f>
        <v>11/1/2020</v>
      </c>
      <c r="D24" s="7">
        <v>417.0</v>
      </c>
      <c r="E24" s="7" t="str">
        <f>IF('MODELO 2'!$B24=E$89,1,0)</f>
        <v>0</v>
      </c>
      <c r="F24" s="7" t="str">
        <f>IF('MODELO 2'!$B24=F$89,1,0)</f>
        <v>0</v>
      </c>
      <c r="G24" s="7" t="str">
        <f>IF('MODELO 2'!$B24=G$89,1,0)</f>
        <v>0</v>
      </c>
      <c r="H24" s="7" t="str">
        <f>IF('MODELO 2'!$B24=H$89,1,0)</f>
        <v>0</v>
      </c>
      <c r="I24" s="7" t="str">
        <f>IF('MODELO 2'!$B24=I$89,1,0)</f>
        <v>0</v>
      </c>
      <c r="J24" s="7" t="str">
        <f>IF('MODELO 2'!$B24=J$89,1,0)</f>
        <v>0</v>
      </c>
      <c r="K24" s="7" t="str">
        <f>IF('MODELO 2'!$B24=K$89,1,0)</f>
        <v>0</v>
      </c>
      <c r="L24" s="7" t="str">
        <f>IF('MODELO 2'!$B24=L$89,1,0)</f>
        <v>0</v>
      </c>
      <c r="M24" s="7" t="str">
        <f>IF('MODELO 2'!$B24=M$89,1,0)</f>
        <v>0</v>
      </c>
      <c r="N24" s="7" t="str">
        <f>IF('MODELO 2'!$B24=N$89,1,0)</f>
        <v>0</v>
      </c>
      <c r="O24" s="7" t="str">
        <f>IF('MODELO 2'!$B24=O$89,1,0)</f>
        <v>1</v>
      </c>
      <c r="P24" s="7" t="str">
        <f>IF('MODELO 2'!$B24=P$89,1,0)</f>
        <v>0</v>
      </c>
      <c r="R24" t="s">
        <v>91</v>
      </c>
      <c r="S24">
        <v>103.42857142857122</v>
      </c>
      <c r="T24">
        <v>52.79143663808479</v>
      </c>
      <c r="U24">
        <v>1.9591922102372905</v>
      </c>
      <c r="V24" s="13">
        <v>0.0538072371724685</v>
      </c>
      <c r="W24">
        <v>-1.7373632110302992</v>
      </c>
      <c r="X24">
        <v>208.59450606817273</v>
      </c>
      <c r="Y24">
        <v>-1.7373632110302992</v>
      </c>
      <c r="Z24">
        <v>208.59450606817273</v>
      </c>
    </row>
    <row r="25" ht="22.5" customHeight="1">
      <c r="A25" s="7">
        <v>2020.0</v>
      </c>
      <c r="B25" s="7">
        <v>12.0</v>
      </c>
      <c r="C25" s="8" t="str">
        <f>DATE('MODELO 2'!$A25,'MODELO 2'!$B25,1)</f>
        <v>12/1/2020</v>
      </c>
      <c r="D25" s="7">
        <v>490.0</v>
      </c>
      <c r="E25" s="7" t="str">
        <f>IF('MODELO 2'!$B25=E$89,1,0)</f>
        <v>0</v>
      </c>
      <c r="F25" s="7" t="str">
        <f>IF('MODELO 2'!$B25=F$89,1,0)</f>
        <v>0</v>
      </c>
      <c r="G25" s="7" t="str">
        <f>IF('MODELO 2'!$B25=G$89,1,0)</f>
        <v>0</v>
      </c>
      <c r="H25" s="7" t="str">
        <f>IF('MODELO 2'!$B25=H$89,1,0)</f>
        <v>0</v>
      </c>
      <c r="I25" s="7" t="str">
        <f>IF('MODELO 2'!$B25=I$89,1,0)</f>
        <v>0</v>
      </c>
      <c r="J25" s="7" t="str">
        <f>IF('MODELO 2'!$B25=J$89,1,0)</f>
        <v>0</v>
      </c>
      <c r="K25" s="7" t="str">
        <f>IF('MODELO 2'!$B25=K$89,1,0)</f>
        <v>0</v>
      </c>
      <c r="L25" s="7" t="str">
        <f>IF('MODELO 2'!$B25=L$89,1,0)</f>
        <v>0</v>
      </c>
      <c r="M25" s="7" t="str">
        <f>IF('MODELO 2'!$B25=M$89,1,0)</f>
        <v>0</v>
      </c>
      <c r="N25" s="7" t="str">
        <f>IF('MODELO 2'!$B25=N$89,1,0)</f>
        <v>0</v>
      </c>
      <c r="O25" s="7" t="str">
        <f>IF('MODELO 2'!$B25=O$89,1,0)</f>
        <v>0</v>
      </c>
      <c r="P25" s="7" t="str">
        <f>IF('MODELO 2'!$B25=P$89,1,0)</f>
        <v>1</v>
      </c>
      <c r="R25" t="s">
        <v>92</v>
      </c>
      <c r="S25">
        <v>108.7142857142856</v>
      </c>
      <c r="T25">
        <v>52.79143663808483</v>
      </c>
      <c r="U25">
        <v>2.0593166740201356</v>
      </c>
      <c r="V25" s="13">
        <v>0.042935418350307966</v>
      </c>
      <c r="W25">
        <v>3.548351074684007</v>
      </c>
      <c r="X25">
        <v>213.88022035388718</v>
      </c>
      <c r="Y25">
        <v>3.548351074684007</v>
      </c>
      <c r="Z25">
        <v>213.88022035388718</v>
      </c>
    </row>
    <row r="26" ht="22.5" customHeight="1">
      <c r="A26" s="7">
        <v>2021.0</v>
      </c>
      <c r="B26" s="7">
        <v>1.0</v>
      </c>
      <c r="C26" s="8" t="str">
        <f>DATE('MODELO 2'!$A26,'MODELO 2'!$B26,1)</f>
        <v>1/1/2021</v>
      </c>
      <c r="D26" s="7">
        <v>401.0</v>
      </c>
      <c r="E26" s="7" t="str">
        <f>IF('MODELO 2'!$B26=E$89,1,0)</f>
        <v>1</v>
      </c>
      <c r="F26" s="7" t="str">
        <f>IF('MODELO 2'!$B26=F$89,1,0)</f>
        <v>0</v>
      </c>
      <c r="G26" s="7" t="str">
        <f>IF('MODELO 2'!$B26=G$89,1,0)</f>
        <v>0</v>
      </c>
      <c r="H26" s="7" t="str">
        <f>IF('MODELO 2'!$B26=H$89,1,0)</f>
        <v>0</v>
      </c>
      <c r="I26" s="7" t="str">
        <f>IF('MODELO 2'!$B26=I$89,1,0)</f>
        <v>0</v>
      </c>
      <c r="J26" s="7" t="str">
        <f>IF('MODELO 2'!$B26=J$89,1,0)</f>
        <v>0</v>
      </c>
      <c r="K26" s="7" t="str">
        <f>IF('MODELO 2'!$B26=K$89,1,0)</f>
        <v>0</v>
      </c>
      <c r="L26" s="7" t="str">
        <f>IF('MODELO 2'!$B26=L$89,1,0)</f>
        <v>0</v>
      </c>
      <c r="M26" s="7" t="str">
        <f>IF('MODELO 2'!$B26=M$89,1,0)</f>
        <v>0</v>
      </c>
      <c r="N26" s="7" t="str">
        <f>IF('MODELO 2'!$B26=N$89,1,0)</f>
        <v>0</v>
      </c>
      <c r="O26" s="7" t="str">
        <f>IF('MODELO 2'!$B26=O$89,1,0)</f>
        <v>0</v>
      </c>
      <c r="P26" s="7" t="str">
        <f>IF('MODELO 2'!$B26=P$89,1,0)</f>
        <v>0</v>
      </c>
      <c r="R26" t="s">
        <v>93</v>
      </c>
      <c r="S26">
        <v>107.28571428571419</v>
      </c>
      <c r="T26">
        <v>52.79143663808481</v>
      </c>
      <c r="U26">
        <v>2.0322560081328818</v>
      </c>
      <c r="V26" s="13">
        <v>0.04566890697211822</v>
      </c>
      <c r="W26">
        <v>2.1197796461126472</v>
      </c>
      <c r="X26">
        <v>212.45164892531574</v>
      </c>
      <c r="Y26">
        <v>2.1197796461126472</v>
      </c>
      <c r="Z26">
        <v>212.45164892531574</v>
      </c>
    </row>
    <row r="27" ht="22.5" customHeight="1">
      <c r="A27" s="7">
        <v>2021.0</v>
      </c>
      <c r="B27" s="7">
        <v>2.0</v>
      </c>
      <c r="C27" s="8" t="str">
        <f>DATE('MODELO 2'!$A27,'MODELO 2'!$B27,1)</f>
        <v>2/1/2021</v>
      </c>
      <c r="D27" s="7">
        <v>422.0</v>
      </c>
      <c r="E27" s="7" t="str">
        <f>IF('MODELO 2'!$B27=E$89,1,0)</f>
        <v>0</v>
      </c>
      <c r="F27" s="7" t="str">
        <f>IF('MODELO 2'!$B27=F$89,1,0)</f>
        <v>1</v>
      </c>
      <c r="G27" s="7" t="str">
        <f>IF('MODELO 2'!$B27=G$89,1,0)</f>
        <v>0</v>
      </c>
      <c r="H27" s="7" t="str">
        <f>IF('MODELO 2'!$B27=H$89,1,0)</f>
        <v>0</v>
      </c>
      <c r="I27" s="7" t="str">
        <f>IF('MODELO 2'!$B27=I$89,1,0)</f>
        <v>0</v>
      </c>
      <c r="J27" s="7" t="str">
        <f>IF('MODELO 2'!$B27=J$89,1,0)</f>
        <v>0</v>
      </c>
      <c r="K27" s="7" t="str">
        <f>IF('MODELO 2'!$B27=K$89,1,0)</f>
        <v>0</v>
      </c>
      <c r="L27" s="7" t="str">
        <f>IF('MODELO 2'!$B27=L$89,1,0)</f>
        <v>0</v>
      </c>
      <c r="M27" s="7" t="str">
        <f>IF('MODELO 2'!$B27=M$89,1,0)</f>
        <v>0</v>
      </c>
      <c r="N27" s="7" t="str">
        <f>IF('MODELO 2'!$B27=N$89,1,0)</f>
        <v>0</v>
      </c>
      <c r="O27" s="7" t="str">
        <f>IF('MODELO 2'!$B27=O$89,1,0)</f>
        <v>0</v>
      </c>
      <c r="P27" s="7" t="str">
        <f>IF('MODELO 2'!$B27=P$89,1,0)</f>
        <v>0</v>
      </c>
      <c r="R27" t="s">
        <v>94</v>
      </c>
      <c r="S27">
        <v>96.28571428571425</v>
      </c>
      <c r="T27">
        <v>52.79143663808483</v>
      </c>
      <c r="U27">
        <v>1.8238888808010152</v>
      </c>
      <c r="V27" s="13">
        <v>0.07215250611878943</v>
      </c>
      <c r="W27">
        <v>-8.880220353887339</v>
      </c>
      <c r="X27">
        <v>201.45164892531585</v>
      </c>
      <c r="Y27">
        <v>-8.880220353887339</v>
      </c>
      <c r="Z27">
        <v>201.45164892531585</v>
      </c>
    </row>
    <row r="28" ht="22.5" customHeight="1">
      <c r="A28" s="7">
        <v>2021.0</v>
      </c>
      <c r="B28" s="7">
        <v>3.0</v>
      </c>
      <c r="C28" s="8" t="str">
        <f>DATE('MODELO 2'!$A28,'MODELO 2'!$B28,1)</f>
        <v>3/1/2021</v>
      </c>
      <c r="D28" s="7">
        <v>485.0</v>
      </c>
      <c r="E28" s="7" t="str">
        <f>IF('MODELO 2'!$B28=E$89,1,0)</f>
        <v>0</v>
      </c>
      <c r="F28" s="7" t="str">
        <f>IF('MODELO 2'!$B28=F$89,1,0)</f>
        <v>0</v>
      </c>
      <c r="G28" s="7" t="str">
        <f>IF('MODELO 2'!$B28=G$89,1,0)</f>
        <v>1</v>
      </c>
      <c r="H28" s="7" t="str">
        <f>IF('MODELO 2'!$B28=H$89,1,0)</f>
        <v>0</v>
      </c>
      <c r="I28" s="7" t="str">
        <f>IF('MODELO 2'!$B28=I$89,1,0)</f>
        <v>0</v>
      </c>
      <c r="J28" s="7" t="str">
        <f>IF('MODELO 2'!$B28=J$89,1,0)</f>
        <v>0</v>
      </c>
      <c r="K28" s="7" t="str">
        <f>IF('MODELO 2'!$B28=K$89,1,0)</f>
        <v>0</v>
      </c>
      <c r="L28" s="7" t="str">
        <f>IF('MODELO 2'!$B28=L$89,1,0)</f>
        <v>0</v>
      </c>
      <c r="M28" s="7" t="str">
        <f>IF('MODELO 2'!$B28=M$89,1,0)</f>
        <v>0</v>
      </c>
      <c r="N28" s="7" t="str">
        <f>IF('MODELO 2'!$B28=N$89,1,0)</f>
        <v>0</v>
      </c>
      <c r="O28" s="7" t="str">
        <f>IF('MODELO 2'!$B28=O$89,1,0)</f>
        <v>0</v>
      </c>
      <c r="P28" s="7" t="str">
        <f>IF('MODELO 2'!$B28=P$89,1,0)</f>
        <v>0</v>
      </c>
      <c r="R28" t="s">
        <v>95</v>
      </c>
      <c r="S28">
        <v>58.571428571428534</v>
      </c>
      <c r="T28">
        <v>52.79143663808481</v>
      </c>
      <c r="U28">
        <v>1.1094873013774722</v>
      </c>
      <c r="V28" s="13">
        <v>0.2707648579575008</v>
      </c>
      <c r="W28">
        <v>-46.59450606817301</v>
      </c>
      <c r="X28">
        <v>163.73736321103007</v>
      </c>
      <c r="Y28">
        <v>-46.59450606817301</v>
      </c>
      <c r="Z28">
        <v>163.73736321103007</v>
      </c>
    </row>
    <row r="29" ht="22.5" customHeight="1">
      <c r="A29" s="7">
        <v>2021.0</v>
      </c>
      <c r="B29" s="7">
        <v>4.0</v>
      </c>
      <c r="C29" s="8" t="str">
        <f>DATE('MODELO 2'!$A29,'MODELO 2'!$B29,1)</f>
        <v>4/1/2021</v>
      </c>
      <c r="D29" s="7">
        <v>432.0</v>
      </c>
      <c r="E29" s="7" t="str">
        <f>IF('MODELO 2'!$B29=E$89,1,0)</f>
        <v>0</v>
      </c>
      <c r="F29" s="7" t="str">
        <f>IF('MODELO 2'!$B29=F$89,1,0)</f>
        <v>0</v>
      </c>
      <c r="G29" s="7" t="str">
        <f>IF('MODELO 2'!$B29=G$89,1,0)</f>
        <v>0</v>
      </c>
      <c r="H29" s="7" t="str">
        <f>IF('MODELO 2'!$B29=H$89,1,0)</f>
        <v>1</v>
      </c>
      <c r="I29" s="7" t="str">
        <f>IF('MODELO 2'!$B29=I$89,1,0)</f>
        <v>0</v>
      </c>
      <c r="J29" s="7" t="str">
        <f>IF('MODELO 2'!$B29=J$89,1,0)</f>
        <v>0</v>
      </c>
      <c r="K29" s="7" t="str">
        <f>IF('MODELO 2'!$B29=K$89,1,0)</f>
        <v>0</v>
      </c>
      <c r="L29" s="7" t="str">
        <f>IF('MODELO 2'!$B29=L$89,1,0)</f>
        <v>0</v>
      </c>
      <c r="M29" s="7" t="str">
        <f>IF('MODELO 2'!$B29=M$89,1,0)</f>
        <v>0</v>
      </c>
      <c r="N29" s="7" t="str">
        <f>IF('MODELO 2'!$B29=N$89,1,0)</f>
        <v>0</v>
      </c>
      <c r="O29" s="7" t="str">
        <f>IF('MODELO 2'!$B29=O$89,1,0)</f>
        <v>0</v>
      </c>
      <c r="P29" s="7" t="str">
        <f>IF('MODELO 2'!$B29=P$89,1,0)</f>
        <v>0</v>
      </c>
      <c r="R29" t="s">
        <v>96</v>
      </c>
      <c r="S29">
        <v>-1.571428571428726</v>
      </c>
      <c r="T29">
        <v>52.79143663808483</v>
      </c>
      <c r="U29">
        <v>-0.0297667324759839</v>
      </c>
      <c r="V29" s="13">
        <v>0.9763321594725931</v>
      </c>
      <c r="W29">
        <v>-106.73736321103031</v>
      </c>
      <c r="X29">
        <v>103.59450606817286</v>
      </c>
      <c r="Y29">
        <v>-106.73736321103031</v>
      </c>
      <c r="Z29">
        <v>103.59450606817286</v>
      </c>
    </row>
    <row r="30" ht="22.5" customHeight="1">
      <c r="A30" s="7">
        <v>2021.0</v>
      </c>
      <c r="B30" s="7">
        <v>5.0</v>
      </c>
      <c r="C30" s="8" t="str">
        <f>DATE('MODELO 2'!$A30,'MODELO 2'!$B30,1)</f>
        <v>5/1/2021</v>
      </c>
      <c r="D30" s="7">
        <v>412.0</v>
      </c>
      <c r="E30" s="7" t="str">
        <f>IF('MODELO 2'!$B30=E$89,1,0)</f>
        <v>0</v>
      </c>
      <c r="F30" s="7" t="str">
        <f>IF('MODELO 2'!$B30=F$89,1,0)</f>
        <v>0</v>
      </c>
      <c r="G30" s="7" t="str">
        <f>IF('MODELO 2'!$B30=G$89,1,0)</f>
        <v>0</v>
      </c>
      <c r="H30" s="7" t="str">
        <f>IF('MODELO 2'!$B30=H$89,1,0)</f>
        <v>0</v>
      </c>
      <c r="I30" s="7" t="str">
        <f>IF('MODELO 2'!$B30=I$89,1,0)</f>
        <v>1</v>
      </c>
      <c r="J30" s="7" t="str">
        <f>IF('MODELO 2'!$B30=J$89,1,0)</f>
        <v>0</v>
      </c>
      <c r="K30" s="7" t="str">
        <f>IF('MODELO 2'!$B30=K$89,1,0)</f>
        <v>0</v>
      </c>
      <c r="L30" s="7" t="str">
        <f>IF('MODELO 2'!$B30=L$89,1,0)</f>
        <v>0</v>
      </c>
      <c r="M30" s="7" t="str">
        <f>IF('MODELO 2'!$B30=M$89,1,0)</f>
        <v>0</v>
      </c>
      <c r="N30" s="7" t="str">
        <f>IF('MODELO 2'!$B30=N$89,1,0)</f>
        <v>0</v>
      </c>
      <c r="O30" s="7" t="str">
        <f>IF('MODELO 2'!$B30=O$89,1,0)</f>
        <v>0</v>
      </c>
      <c r="P30" s="7" t="str">
        <f>IF('MODELO 2'!$B30=P$89,1,0)</f>
        <v>0</v>
      </c>
      <c r="R30" s="11" t="s">
        <v>97</v>
      </c>
      <c r="S30" s="11">
        <v>61.28571428571398</v>
      </c>
      <c r="T30" s="11">
        <v>52.79143663808475</v>
      </c>
      <c r="U30" s="11">
        <v>1.160902566563254</v>
      </c>
      <c r="V30" s="14">
        <v>0.2493632427766808</v>
      </c>
      <c r="W30" s="11">
        <v>-43.88022035388745</v>
      </c>
      <c r="X30" s="11">
        <v>166.4516489253154</v>
      </c>
      <c r="Y30" s="11">
        <v>-43.88022035388745</v>
      </c>
      <c r="Z30" s="11">
        <v>166.4516489253154</v>
      </c>
    </row>
    <row r="31" ht="22.5" customHeight="1">
      <c r="A31" s="7">
        <v>2021.0</v>
      </c>
      <c r="B31" s="7">
        <v>6.0</v>
      </c>
      <c r="C31" s="8" t="str">
        <f>DATE('MODELO 2'!$A31,'MODELO 2'!$B31,1)</f>
        <v>6/1/2021</v>
      </c>
      <c r="D31" s="7">
        <v>549.0</v>
      </c>
      <c r="E31" s="7" t="str">
        <f>IF('MODELO 2'!$B31=E$89,1,0)</f>
        <v>0</v>
      </c>
      <c r="F31" s="7" t="str">
        <f>IF('MODELO 2'!$B31=F$89,1,0)</f>
        <v>0</v>
      </c>
      <c r="G31" s="7" t="str">
        <f>IF('MODELO 2'!$B31=G$89,1,0)</f>
        <v>0</v>
      </c>
      <c r="H31" s="7" t="str">
        <f>IF('MODELO 2'!$B31=H$89,1,0)</f>
        <v>0</v>
      </c>
      <c r="I31" s="7" t="str">
        <f>IF('MODELO 2'!$B31=I$89,1,0)</f>
        <v>0</v>
      </c>
      <c r="J31" s="7" t="str">
        <f>IF('MODELO 2'!$B31=J$89,1,0)</f>
        <v>1</v>
      </c>
      <c r="K31" s="7" t="str">
        <f>IF('MODELO 2'!$B31=K$89,1,0)</f>
        <v>0</v>
      </c>
      <c r="L31" s="7" t="str">
        <f>IF('MODELO 2'!$B31=L$89,1,0)</f>
        <v>0</v>
      </c>
      <c r="M31" s="7" t="str">
        <f>IF('MODELO 2'!$B31=M$89,1,0)</f>
        <v>0</v>
      </c>
      <c r="N31" s="7" t="str">
        <f>IF('MODELO 2'!$B31=N$89,1,0)</f>
        <v>0</v>
      </c>
      <c r="O31" s="7" t="str">
        <f>IF('MODELO 2'!$B31=O$89,1,0)</f>
        <v>0</v>
      </c>
      <c r="P31" s="7" t="str">
        <f>IF('MODELO 2'!$B31=P$89,1,0)</f>
        <v>0</v>
      </c>
    </row>
    <row r="32" ht="22.5" customHeight="1">
      <c r="A32" s="7">
        <v>2021.0</v>
      </c>
      <c r="B32" s="7">
        <v>7.0</v>
      </c>
      <c r="C32" s="8" t="str">
        <f>DATE('MODELO 2'!$A32,'MODELO 2'!$B32,1)</f>
        <v>7/1/2021</v>
      </c>
      <c r="D32" s="7">
        <v>527.0</v>
      </c>
      <c r="E32" s="7" t="str">
        <f>IF('MODELO 2'!$B32=E$89,1,0)</f>
        <v>0</v>
      </c>
      <c r="F32" s="7" t="str">
        <f>IF('MODELO 2'!$B32=F$89,1,0)</f>
        <v>0</v>
      </c>
      <c r="G32" s="7" t="str">
        <f>IF('MODELO 2'!$B32=G$89,1,0)</f>
        <v>0</v>
      </c>
      <c r="H32" s="7" t="str">
        <f>IF('MODELO 2'!$B32=H$89,1,0)</f>
        <v>0</v>
      </c>
      <c r="I32" s="7" t="str">
        <f>IF('MODELO 2'!$B32=I$89,1,0)</f>
        <v>0</v>
      </c>
      <c r="J32" s="7" t="str">
        <f>IF('MODELO 2'!$B32=J$89,1,0)</f>
        <v>0</v>
      </c>
      <c r="K32" s="7" t="str">
        <f>IF('MODELO 2'!$B32=K$89,1,0)</f>
        <v>1</v>
      </c>
      <c r="L32" s="7" t="str">
        <f>IF('MODELO 2'!$B32=L$89,1,0)</f>
        <v>0</v>
      </c>
      <c r="M32" s="7" t="str">
        <f>IF('MODELO 2'!$B32=M$89,1,0)</f>
        <v>0</v>
      </c>
      <c r="N32" s="7" t="str">
        <f>IF('MODELO 2'!$B32=N$89,1,0)</f>
        <v>0</v>
      </c>
      <c r="O32" s="7" t="str">
        <f>IF('MODELO 2'!$B32=O$89,1,0)</f>
        <v>0</v>
      </c>
      <c r="P32" s="7" t="str">
        <f>IF('MODELO 2'!$B32=P$89,1,0)</f>
        <v>0</v>
      </c>
    </row>
    <row r="33" ht="22.5" customHeight="1">
      <c r="A33" s="7">
        <v>2021.0</v>
      </c>
      <c r="B33" s="7">
        <v>8.0</v>
      </c>
      <c r="C33" s="8" t="str">
        <f>DATE('MODELO 2'!$A33,'MODELO 2'!$B33,1)</f>
        <v>8/1/2021</v>
      </c>
      <c r="D33" s="7">
        <v>631.0</v>
      </c>
      <c r="E33" s="7" t="str">
        <f>IF('MODELO 2'!$B33=E$89,1,0)</f>
        <v>0</v>
      </c>
      <c r="F33" s="7" t="str">
        <f>IF('MODELO 2'!$B33=F$89,1,0)</f>
        <v>0</v>
      </c>
      <c r="G33" s="7" t="str">
        <f>IF('MODELO 2'!$B33=G$89,1,0)</f>
        <v>0</v>
      </c>
      <c r="H33" s="7" t="str">
        <f>IF('MODELO 2'!$B33=H$89,1,0)</f>
        <v>0</v>
      </c>
      <c r="I33" s="7" t="str">
        <f>IF('MODELO 2'!$B33=I$89,1,0)</f>
        <v>0</v>
      </c>
      <c r="J33" s="7" t="str">
        <f>IF('MODELO 2'!$B33=J$89,1,0)</f>
        <v>0</v>
      </c>
      <c r="K33" s="7" t="str">
        <f>IF('MODELO 2'!$B33=K$89,1,0)</f>
        <v>0</v>
      </c>
      <c r="L33" s="7" t="str">
        <f>IF('MODELO 2'!$B33=L$89,1,0)</f>
        <v>1</v>
      </c>
      <c r="M33" s="7" t="str">
        <f>IF('MODELO 2'!$B33=M$89,1,0)</f>
        <v>0</v>
      </c>
      <c r="N33" s="7" t="str">
        <f>IF('MODELO 2'!$B33=N$89,1,0)</f>
        <v>0</v>
      </c>
      <c r="O33" s="7" t="str">
        <f>IF('MODELO 2'!$B33=O$89,1,0)</f>
        <v>0</v>
      </c>
      <c r="P33" s="7" t="str">
        <f>IF('MODELO 2'!$B33=P$89,1,0)</f>
        <v>0</v>
      </c>
    </row>
    <row r="34" ht="22.5" customHeight="1">
      <c r="A34" s="7">
        <v>2021.0</v>
      </c>
      <c r="B34" s="7">
        <v>9.0</v>
      </c>
      <c r="C34" s="8" t="str">
        <f>DATE('MODELO 2'!$A34,'MODELO 2'!$B34,1)</f>
        <v>9/1/2021</v>
      </c>
      <c r="D34" s="7">
        <v>599.0</v>
      </c>
      <c r="E34" s="7" t="str">
        <f>IF('MODELO 2'!$B34=E$89,1,0)</f>
        <v>0</v>
      </c>
      <c r="F34" s="7" t="str">
        <f>IF('MODELO 2'!$B34=F$89,1,0)</f>
        <v>0</v>
      </c>
      <c r="G34" s="7" t="str">
        <f>IF('MODELO 2'!$B34=G$89,1,0)</f>
        <v>0</v>
      </c>
      <c r="H34" s="7" t="str">
        <f>IF('MODELO 2'!$B34=H$89,1,0)</f>
        <v>0</v>
      </c>
      <c r="I34" s="7" t="str">
        <f>IF('MODELO 2'!$B34=I$89,1,0)</f>
        <v>0</v>
      </c>
      <c r="J34" s="7" t="str">
        <f>IF('MODELO 2'!$B34=J$89,1,0)</f>
        <v>0</v>
      </c>
      <c r="K34" s="7" t="str">
        <f>IF('MODELO 2'!$B34=K$89,1,0)</f>
        <v>0</v>
      </c>
      <c r="L34" s="7" t="str">
        <f>IF('MODELO 2'!$B34=L$89,1,0)</f>
        <v>0</v>
      </c>
      <c r="M34" s="7" t="str">
        <f>IF('MODELO 2'!$B34=M$89,1,0)</f>
        <v>1</v>
      </c>
      <c r="N34" s="7" t="str">
        <f>IF('MODELO 2'!$B34=N$89,1,0)</f>
        <v>0</v>
      </c>
      <c r="O34" s="7" t="str">
        <f>IF('MODELO 2'!$B34=O$89,1,0)</f>
        <v>0</v>
      </c>
      <c r="P34" s="7" t="str">
        <f>IF('MODELO 2'!$B34=P$89,1,0)</f>
        <v>0</v>
      </c>
      <c r="R34" t="s">
        <v>79</v>
      </c>
      <c r="W34" t="s">
        <v>80</v>
      </c>
    </row>
    <row r="35" ht="22.5" customHeight="1">
      <c r="A35" s="7">
        <v>2021.0</v>
      </c>
      <c r="B35" s="7">
        <v>10.0</v>
      </c>
      <c r="C35" s="8" t="str">
        <f>DATE('MODELO 2'!$A35,'MODELO 2'!$B35,1)</f>
        <v>10/1/2021</v>
      </c>
      <c r="D35" s="7">
        <v>557.0</v>
      </c>
      <c r="E35" s="7" t="str">
        <f>IF('MODELO 2'!$B35=E$89,1,0)</f>
        <v>0</v>
      </c>
      <c r="F35" s="7" t="str">
        <f>IF('MODELO 2'!$B35=F$89,1,0)</f>
        <v>0</v>
      </c>
      <c r="G35" s="7" t="str">
        <f>IF('MODELO 2'!$B35=G$89,1,0)</f>
        <v>0</v>
      </c>
      <c r="H35" s="7" t="str">
        <f>IF('MODELO 2'!$B35=H$89,1,0)</f>
        <v>0</v>
      </c>
      <c r="I35" s="7" t="str">
        <f>IF('MODELO 2'!$B35=I$89,1,0)</f>
        <v>0</v>
      </c>
      <c r="J35" s="7" t="str">
        <f>IF('MODELO 2'!$B35=J$89,1,0)</f>
        <v>0</v>
      </c>
      <c r="K35" s="7" t="str">
        <f>IF('MODELO 2'!$B35=K$89,1,0)</f>
        <v>0</v>
      </c>
      <c r="L35" s="7" t="str">
        <f>IF('MODELO 2'!$B35=L$89,1,0)</f>
        <v>0</v>
      </c>
      <c r="M35" s="7" t="str">
        <f>IF('MODELO 2'!$B35=M$89,1,0)</f>
        <v>0</v>
      </c>
      <c r="N35" s="7" t="str">
        <f>IF('MODELO 2'!$B35=N$89,1,0)</f>
        <v>1</v>
      </c>
      <c r="O35" s="7" t="str">
        <f>IF('MODELO 2'!$B35=O$89,1,0)</f>
        <v>0</v>
      </c>
      <c r="P35" s="7" t="str">
        <f>IF('MODELO 2'!$B35=P$89,1,0)</f>
        <v>0</v>
      </c>
    </row>
    <row r="36" ht="22.5" customHeight="1">
      <c r="A36" s="7">
        <v>2021.0</v>
      </c>
      <c r="B36" s="7">
        <v>11.0</v>
      </c>
      <c r="C36" s="8" t="str">
        <f>DATE('MODELO 2'!$A36,'MODELO 2'!$B36,1)</f>
        <v>11/1/2021</v>
      </c>
      <c r="D36" s="7">
        <v>613.0</v>
      </c>
      <c r="E36" s="7" t="str">
        <f>IF('MODELO 2'!$B36=E$89,1,0)</f>
        <v>0</v>
      </c>
      <c r="F36" s="7" t="str">
        <f>IF('MODELO 2'!$B36=F$89,1,0)</f>
        <v>0</v>
      </c>
      <c r="G36" s="7" t="str">
        <f>IF('MODELO 2'!$B36=G$89,1,0)</f>
        <v>0</v>
      </c>
      <c r="H36" s="7" t="str">
        <f>IF('MODELO 2'!$B36=H$89,1,0)</f>
        <v>0</v>
      </c>
      <c r="I36" s="7" t="str">
        <f>IF('MODELO 2'!$B36=I$89,1,0)</f>
        <v>0</v>
      </c>
      <c r="J36" s="7" t="str">
        <f>IF('MODELO 2'!$B36=J$89,1,0)</f>
        <v>0</v>
      </c>
      <c r="K36" s="7" t="str">
        <f>IF('MODELO 2'!$B36=K$89,1,0)</f>
        <v>0</v>
      </c>
      <c r="L36" s="7" t="str">
        <f>IF('MODELO 2'!$B36=L$89,1,0)</f>
        <v>0</v>
      </c>
      <c r="M36" s="7" t="str">
        <f>IF('MODELO 2'!$B36=M$89,1,0)</f>
        <v>0</v>
      </c>
      <c r="N36" s="7" t="str">
        <f>IF('MODELO 2'!$B36=N$89,1,0)</f>
        <v>0</v>
      </c>
      <c r="O36" s="7" t="str">
        <f>IF('MODELO 2'!$B36=O$89,1,0)</f>
        <v>1</v>
      </c>
      <c r="P36" s="7" t="str">
        <f>IF('MODELO 2'!$B36=P$89,1,0)</f>
        <v>0</v>
      </c>
      <c r="R36" s="10" t="s">
        <v>81</v>
      </c>
      <c r="S36" s="10" t="s">
        <v>82</v>
      </c>
      <c r="T36" s="10" t="s">
        <v>83</v>
      </c>
      <c r="U36" s="10" t="s">
        <v>84</v>
      </c>
      <c r="W36" s="10" t="s">
        <v>85</v>
      </c>
      <c r="X36" s="10" t="s">
        <v>4</v>
      </c>
    </row>
    <row r="37" ht="22.5" customHeight="1">
      <c r="A37" s="7">
        <v>2021.0</v>
      </c>
      <c r="B37" s="7">
        <v>12.0</v>
      </c>
      <c r="C37" s="8" t="str">
        <f>DATE('MODELO 2'!$A37,'MODELO 2'!$B37,1)</f>
        <v>12/1/2021</v>
      </c>
      <c r="D37" s="7">
        <v>733.0</v>
      </c>
      <c r="E37" s="7" t="str">
        <f>IF('MODELO 2'!$B37=E$89,1,0)</f>
        <v>0</v>
      </c>
      <c r="F37" s="7" t="str">
        <f>IF('MODELO 2'!$B37=F$89,1,0)</f>
        <v>0</v>
      </c>
      <c r="G37" s="7" t="str">
        <f>IF('MODELO 2'!$B37=G$89,1,0)</f>
        <v>0</v>
      </c>
      <c r="H37" s="7" t="str">
        <f>IF('MODELO 2'!$B37=H$89,1,0)</f>
        <v>0</v>
      </c>
      <c r="I37" s="7" t="str">
        <f>IF('MODELO 2'!$B37=I$89,1,0)</f>
        <v>0</v>
      </c>
      <c r="J37" s="7" t="str">
        <f>IF('MODELO 2'!$B37=J$89,1,0)</f>
        <v>0</v>
      </c>
      <c r="K37" s="7" t="str">
        <f>IF('MODELO 2'!$B37=K$89,1,0)</f>
        <v>0</v>
      </c>
      <c r="L37" s="7" t="str">
        <f>IF('MODELO 2'!$B37=L$89,1,0)</f>
        <v>0</v>
      </c>
      <c r="M37" s="7" t="str">
        <f>IF('MODELO 2'!$B37=M$89,1,0)</f>
        <v>0</v>
      </c>
      <c r="N37" s="7" t="str">
        <f>IF('MODELO 2'!$B37=N$89,1,0)</f>
        <v>0</v>
      </c>
      <c r="O37" s="7" t="str">
        <f>IF('MODELO 2'!$B37=O$89,1,0)</f>
        <v>0</v>
      </c>
      <c r="P37" s="7" t="str">
        <f>IF('MODELO 2'!$B37=P$89,1,0)</f>
        <v>1</v>
      </c>
      <c r="R37">
        <v>1.0</v>
      </c>
      <c r="S37">
        <v>492.9999999999999</v>
      </c>
      <c r="T37">
        <v>96.00000000000011</v>
      </c>
      <c r="U37">
        <v>1.0468940334847923</v>
      </c>
      <c r="W37">
        <v>0.5747126436781609</v>
      </c>
      <c r="X37">
        <v>340.0</v>
      </c>
    </row>
    <row r="38" ht="22.5" customHeight="1">
      <c r="A38" s="7">
        <v>2022.0</v>
      </c>
      <c r="B38" s="7">
        <v>1.0</v>
      </c>
      <c r="C38" s="8" t="str">
        <f>DATE('MODELO 2'!$A38,'MODELO 2'!$B38,1)</f>
        <v>1/1/2022</v>
      </c>
      <c r="D38" s="7">
        <v>390.0</v>
      </c>
      <c r="E38" s="7" t="str">
        <f>IF('MODELO 2'!$B38=E$89,1,0)</f>
        <v>1</v>
      </c>
      <c r="F38" s="7" t="str">
        <f>IF('MODELO 2'!$B38=F$89,1,0)</f>
        <v>0</v>
      </c>
      <c r="G38" s="7" t="str">
        <f>IF('MODELO 2'!$B38=G$89,1,0)</f>
        <v>0</v>
      </c>
      <c r="H38" s="7" t="str">
        <f>IF('MODELO 2'!$B38=H$89,1,0)</f>
        <v>0</v>
      </c>
      <c r="I38" s="7" t="str">
        <f>IF('MODELO 2'!$B38=I$89,1,0)</f>
        <v>0</v>
      </c>
      <c r="J38" s="7" t="str">
        <f>IF('MODELO 2'!$B38=J$89,1,0)</f>
        <v>0</v>
      </c>
      <c r="K38" s="7" t="str">
        <f>IF('MODELO 2'!$B38=K$89,1,0)</f>
        <v>0</v>
      </c>
      <c r="L38" s="7" t="str">
        <f>IF('MODELO 2'!$B38=L$89,1,0)</f>
        <v>0</v>
      </c>
      <c r="M38" s="7" t="str">
        <f>IF('MODELO 2'!$B38=M$89,1,0)</f>
        <v>0</v>
      </c>
      <c r="N38" s="7" t="str">
        <f>IF('MODELO 2'!$B38=N$89,1,0)</f>
        <v>0</v>
      </c>
      <c r="O38" s="7" t="str">
        <f>IF('MODELO 2'!$B38=O$89,1,0)</f>
        <v>0</v>
      </c>
      <c r="P38" s="7" t="str">
        <f>IF('MODELO 2'!$B38=P$89,1,0)</f>
        <v>0</v>
      </c>
      <c r="R38">
        <v>2.0</v>
      </c>
      <c r="S38">
        <v>479.5</v>
      </c>
      <c r="T38">
        <v>121.5</v>
      </c>
      <c r="U38">
        <v>1.3249752611291887</v>
      </c>
      <c r="W38">
        <v>1.7241379310344827</v>
      </c>
      <c r="X38">
        <v>368.0</v>
      </c>
    </row>
    <row r="39" ht="22.5" customHeight="1">
      <c r="A39" s="7">
        <v>2022.0</v>
      </c>
      <c r="B39" s="7">
        <v>2.0</v>
      </c>
      <c r="C39" s="8" t="str">
        <f>DATE('MODELO 2'!$A39,'MODELO 2'!$B39,1)</f>
        <v>2/1/2022</v>
      </c>
      <c r="D39" s="7">
        <v>481.0</v>
      </c>
      <c r="E39" s="7" t="str">
        <f>IF('MODELO 2'!$B39=E$89,1,0)</f>
        <v>0</v>
      </c>
      <c r="F39" s="7" t="str">
        <f>IF('MODELO 2'!$B39=F$89,1,0)</f>
        <v>1</v>
      </c>
      <c r="G39" s="7" t="str">
        <f>IF('MODELO 2'!$B39=G$89,1,0)</f>
        <v>0</v>
      </c>
      <c r="H39" s="7" t="str">
        <f>IF('MODELO 2'!$B39=H$89,1,0)</f>
        <v>0</v>
      </c>
      <c r="I39" s="7" t="str">
        <f>IF('MODELO 2'!$B39=I$89,1,0)</f>
        <v>0</v>
      </c>
      <c r="J39" s="7" t="str">
        <f>IF('MODELO 2'!$B39=J$89,1,0)</f>
        <v>0</v>
      </c>
      <c r="K39" s="7" t="str">
        <f>IF('MODELO 2'!$B39=K$89,1,0)</f>
        <v>0</v>
      </c>
      <c r="L39" s="7" t="str">
        <f>IF('MODELO 2'!$B39=L$89,1,0)</f>
        <v>0</v>
      </c>
      <c r="M39" s="7" t="str">
        <f>IF('MODELO 2'!$B39=M$89,1,0)</f>
        <v>0</v>
      </c>
      <c r="N39" s="7" t="str">
        <f>IF('MODELO 2'!$B39=N$89,1,0)</f>
        <v>0</v>
      </c>
      <c r="O39" s="7" t="str">
        <f>IF('MODELO 2'!$B39=O$89,1,0)</f>
        <v>0</v>
      </c>
      <c r="P39" s="7" t="str">
        <f>IF('MODELO 2'!$B39=P$89,1,0)</f>
        <v>0</v>
      </c>
      <c r="R39">
        <v>3.0</v>
      </c>
      <c r="S39">
        <v>525.2499999999999</v>
      </c>
      <c r="T39">
        <v>53.750000000000114</v>
      </c>
      <c r="U39">
        <v>0.586151607289663</v>
      </c>
      <c r="W39">
        <v>2.8735632183908044</v>
      </c>
      <c r="X39">
        <v>386.0</v>
      </c>
    </row>
    <row r="40" ht="22.5" customHeight="1">
      <c r="A40" s="7">
        <v>2022.0</v>
      </c>
      <c r="B40" s="7">
        <v>3.0</v>
      </c>
      <c r="C40" s="8" t="str">
        <f>DATE('MODELO 2'!$A40,'MODELO 2'!$B40,1)</f>
        <v>3/1/2022</v>
      </c>
      <c r="D40" s="7">
        <v>552.0</v>
      </c>
      <c r="E40" s="7" t="str">
        <f>IF('MODELO 2'!$B40=E$89,1,0)</f>
        <v>0</v>
      </c>
      <c r="F40" s="7" t="str">
        <f>IF('MODELO 2'!$B40=F$89,1,0)</f>
        <v>0</v>
      </c>
      <c r="G40" s="7" t="str">
        <f>IF('MODELO 2'!$B40=G$89,1,0)</f>
        <v>1</v>
      </c>
      <c r="H40" s="7" t="str">
        <f>IF('MODELO 2'!$B40=H$89,1,0)</f>
        <v>0</v>
      </c>
      <c r="I40" s="7" t="str">
        <f>IF('MODELO 2'!$B40=I$89,1,0)</f>
        <v>0</v>
      </c>
      <c r="J40" s="7" t="str">
        <f>IF('MODELO 2'!$B40=J$89,1,0)</f>
        <v>0</v>
      </c>
      <c r="K40" s="7" t="str">
        <f>IF('MODELO 2'!$B40=K$89,1,0)</f>
        <v>0</v>
      </c>
      <c r="L40" s="7" t="str">
        <f>IF('MODELO 2'!$B40=L$89,1,0)</f>
        <v>0</v>
      </c>
      <c r="M40" s="7" t="str">
        <f>IF('MODELO 2'!$B40=M$89,1,0)</f>
        <v>0</v>
      </c>
      <c r="N40" s="7" t="str">
        <f>IF('MODELO 2'!$B40=N$89,1,0)</f>
        <v>0</v>
      </c>
      <c r="O40" s="7" t="str">
        <f>IF('MODELO 2'!$B40=O$89,1,0)</f>
        <v>0</v>
      </c>
      <c r="P40" s="7" t="str">
        <f>IF('MODELO 2'!$B40=P$89,1,0)</f>
        <v>0</v>
      </c>
      <c r="R40">
        <v>4.0</v>
      </c>
      <c r="S40">
        <v>513.7142857142858</v>
      </c>
      <c r="T40">
        <v>100.28571428571422</v>
      </c>
      <c r="U40">
        <v>1.0936303742653615</v>
      </c>
      <c r="W40">
        <v>4.022988505747126</v>
      </c>
      <c r="X40">
        <v>390.0</v>
      </c>
    </row>
    <row r="41" ht="22.5" customHeight="1">
      <c r="A41" s="7">
        <v>2022.0</v>
      </c>
      <c r="B41" s="7">
        <v>4.0</v>
      </c>
      <c r="C41" s="8" t="str">
        <f>DATE('MODELO 2'!$A41,'MODELO 2'!$B41,1)</f>
        <v>4/1/2022</v>
      </c>
      <c r="D41" s="7">
        <v>539.0</v>
      </c>
      <c r="E41" s="7" t="str">
        <f>IF('MODELO 2'!$B41=E$89,1,0)</f>
        <v>0</v>
      </c>
      <c r="F41" s="7" t="str">
        <f>IF('MODELO 2'!$B41=F$89,1,0)</f>
        <v>0</v>
      </c>
      <c r="G41" s="7" t="str">
        <f>IF('MODELO 2'!$B41=G$89,1,0)</f>
        <v>0</v>
      </c>
      <c r="H41" s="7" t="str">
        <f>IF('MODELO 2'!$B41=H$89,1,0)</f>
        <v>1</v>
      </c>
      <c r="I41" s="7" t="str">
        <f>IF('MODELO 2'!$B41=I$89,1,0)</f>
        <v>0</v>
      </c>
      <c r="J41" s="7" t="str">
        <f>IF('MODELO 2'!$B41=J$89,1,0)</f>
        <v>0</v>
      </c>
      <c r="K41" s="7" t="str">
        <f>IF('MODELO 2'!$B41=K$89,1,0)</f>
        <v>0</v>
      </c>
      <c r="L41" s="7" t="str">
        <f>IF('MODELO 2'!$B41=L$89,1,0)</f>
        <v>0</v>
      </c>
      <c r="M41" s="7" t="str">
        <f>IF('MODELO 2'!$B41=M$89,1,0)</f>
        <v>0</v>
      </c>
      <c r="N41" s="7" t="str">
        <f>IF('MODELO 2'!$B41=N$89,1,0)</f>
        <v>0</v>
      </c>
      <c r="O41" s="7" t="str">
        <f>IF('MODELO 2'!$B41=O$89,1,0)</f>
        <v>0</v>
      </c>
      <c r="P41" s="7" t="str">
        <f>IF('MODELO 2'!$B41=P$89,1,0)</f>
        <v>0</v>
      </c>
      <c r="R41">
        <v>5.0</v>
      </c>
      <c r="S41">
        <v>572.1428571428571</v>
      </c>
      <c r="T41">
        <v>97.85714285714289</v>
      </c>
      <c r="U41">
        <v>1.067146447823039</v>
      </c>
      <c r="W41">
        <v>5.172413793103448</v>
      </c>
      <c r="X41">
        <v>401.0</v>
      </c>
    </row>
    <row r="42" ht="22.5" customHeight="1">
      <c r="A42" s="7">
        <v>2022.0</v>
      </c>
      <c r="B42" s="7">
        <v>5.0</v>
      </c>
      <c r="C42" s="8" t="str">
        <f>DATE('MODELO 2'!$A42,'MODELO 2'!$B42,1)</f>
        <v>5/1/2022</v>
      </c>
      <c r="D42" s="7">
        <v>574.0</v>
      </c>
      <c r="E42" s="7" t="str">
        <f>IF('MODELO 2'!$B42=E$89,1,0)</f>
        <v>0</v>
      </c>
      <c r="F42" s="7" t="str">
        <f>IF('MODELO 2'!$B42=F$89,1,0)</f>
        <v>0</v>
      </c>
      <c r="G42" s="7" t="str">
        <f>IF('MODELO 2'!$B42=G$89,1,0)</f>
        <v>0</v>
      </c>
      <c r="H42" s="7" t="str">
        <f>IF('MODELO 2'!$B42=H$89,1,0)</f>
        <v>0</v>
      </c>
      <c r="I42" s="7" t="str">
        <f>IF('MODELO 2'!$B42=I$89,1,0)</f>
        <v>1</v>
      </c>
      <c r="J42" s="7" t="str">
        <f>IF('MODELO 2'!$B42=J$89,1,0)</f>
        <v>0</v>
      </c>
      <c r="K42" s="7" t="str">
        <f>IF('MODELO 2'!$B42=K$89,1,0)</f>
        <v>0</v>
      </c>
      <c r="L42" s="7" t="str">
        <f>IF('MODELO 2'!$B42=L$89,1,0)</f>
        <v>0</v>
      </c>
      <c r="M42" s="7" t="str">
        <f>IF('MODELO 2'!$B42=M$89,1,0)</f>
        <v>0</v>
      </c>
      <c r="N42" s="7" t="str">
        <f>IF('MODELO 2'!$B42=N$89,1,0)</f>
        <v>0</v>
      </c>
      <c r="O42" s="7" t="str">
        <f>IF('MODELO 2'!$B42=O$89,1,0)</f>
        <v>0</v>
      </c>
      <c r="P42" s="7" t="str">
        <f>IF('MODELO 2'!$B42=P$89,1,0)</f>
        <v>0</v>
      </c>
      <c r="R42">
        <v>6.0</v>
      </c>
      <c r="S42">
        <v>617.142857142857</v>
      </c>
      <c r="T42">
        <v>18.857142857143003</v>
      </c>
      <c r="U42">
        <v>0.20563989943451413</v>
      </c>
      <c r="W42">
        <v>6.321839080459769</v>
      </c>
      <c r="X42">
        <v>402.0</v>
      </c>
    </row>
    <row r="43" ht="22.5" customHeight="1">
      <c r="A43" s="7">
        <v>2022.0</v>
      </c>
      <c r="B43" s="7">
        <v>6.0</v>
      </c>
      <c r="C43" s="8" t="str">
        <f>DATE('MODELO 2'!$A43,'MODELO 2'!$B43,1)</f>
        <v>6/1/2022</v>
      </c>
      <c r="D43" s="7">
        <v>758.0</v>
      </c>
      <c r="E43" s="7" t="str">
        <f>IF('MODELO 2'!$B43=E$89,1,0)</f>
        <v>0</v>
      </c>
      <c r="F43" s="7" t="str">
        <f>IF('MODELO 2'!$B43=F$89,1,0)</f>
        <v>0</v>
      </c>
      <c r="G43" s="7" t="str">
        <f>IF('MODELO 2'!$B43=G$89,1,0)</f>
        <v>0</v>
      </c>
      <c r="H43" s="7" t="str">
        <f>IF('MODELO 2'!$B43=H$89,1,0)</f>
        <v>0</v>
      </c>
      <c r="I43" s="7" t="str">
        <f>IF('MODELO 2'!$B43=I$89,1,0)</f>
        <v>0</v>
      </c>
      <c r="J43" s="7" t="str">
        <f>IF('MODELO 2'!$B43=J$89,1,0)</f>
        <v>1</v>
      </c>
      <c r="K43" s="7" t="str">
        <f>IF('MODELO 2'!$B43=K$89,1,0)</f>
        <v>0</v>
      </c>
      <c r="L43" s="7" t="str">
        <f>IF('MODELO 2'!$B43=L$89,1,0)</f>
        <v>0</v>
      </c>
      <c r="M43" s="7" t="str">
        <f>IF('MODELO 2'!$B43=M$89,1,0)</f>
        <v>0</v>
      </c>
      <c r="N43" s="7" t="str">
        <f>IF('MODELO 2'!$B43=N$89,1,0)</f>
        <v>0</v>
      </c>
      <c r="O43" s="7" t="str">
        <f>IF('MODELO 2'!$B43=O$89,1,0)</f>
        <v>0</v>
      </c>
      <c r="P43" s="7" t="str">
        <f>IF('MODELO 2'!$B43=P$89,1,0)</f>
        <v>0</v>
      </c>
      <c r="R43">
        <v>7.0</v>
      </c>
      <c r="S43">
        <v>622.4285714285713</v>
      </c>
      <c r="T43">
        <v>140.57142857142867</v>
      </c>
      <c r="U43">
        <v>1.532951977602731</v>
      </c>
      <c r="W43">
        <v>7.471264367816092</v>
      </c>
      <c r="X43">
        <v>403.0</v>
      </c>
    </row>
    <row r="44" ht="22.5" customHeight="1">
      <c r="A44" s="7">
        <v>2022.0</v>
      </c>
      <c r="B44" s="7">
        <v>7.0</v>
      </c>
      <c r="C44" s="8" t="str">
        <f>DATE('MODELO 2'!$A44,'MODELO 2'!$B44,1)</f>
        <v>7/1/2022</v>
      </c>
      <c r="D44" s="7">
        <v>595.0</v>
      </c>
      <c r="E44" s="7" t="str">
        <f>IF('MODELO 2'!$B44=E$89,1,0)</f>
        <v>0</v>
      </c>
      <c r="F44" s="7" t="str">
        <f>IF('MODELO 2'!$B44=F$89,1,0)</f>
        <v>0</v>
      </c>
      <c r="G44" s="7" t="str">
        <f>IF('MODELO 2'!$B44=G$89,1,0)</f>
        <v>0</v>
      </c>
      <c r="H44" s="7" t="str">
        <f>IF('MODELO 2'!$B44=H$89,1,0)</f>
        <v>0</v>
      </c>
      <c r="I44" s="7" t="str">
        <f>IF('MODELO 2'!$B44=I$89,1,0)</f>
        <v>0</v>
      </c>
      <c r="J44" s="7" t="str">
        <f>IF('MODELO 2'!$B44=J$89,1,0)</f>
        <v>0</v>
      </c>
      <c r="K44" s="7" t="str">
        <f>IF('MODELO 2'!$B44=K$89,1,0)</f>
        <v>1</v>
      </c>
      <c r="L44" s="7" t="str">
        <f>IF('MODELO 2'!$B44=L$89,1,0)</f>
        <v>0</v>
      </c>
      <c r="M44" s="7" t="str">
        <f>IF('MODELO 2'!$B44=M$89,1,0)</f>
        <v>0</v>
      </c>
      <c r="N44" s="7" t="str">
        <f>IF('MODELO 2'!$B44=N$89,1,0)</f>
        <v>0</v>
      </c>
      <c r="O44" s="7" t="str">
        <f>IF('MODELO 2'!$B44=O$89,1,0)</f>
        <v>0</v>
      </c>
      <c r="P44" s="7" t="str">
        <f>IF('MODELO 2'!$B44=P$89,1,0)</f>
        <v>0</v>
      </c>
      <c r="R44">
        <v>8.0</v>
      </c>
      <c r="S44">
        <v>621.0</v>
      </c>
      <c r="T44">
        <v>184.0</v>
      </c>
      <c r="U44">
        <v>2.0065468975125165</v>
      </c>
      <c r="W44">
        <v>8.620689655172413</v>
      </c>
      <c r="X44">
        <v>406.0</v>
      </c>
    </row>
    <row r="45" ht="22.5" customHeight="1">
      <c r="A45" s="7">
        <v>2022.0</v>
      </c>
      <c r="B45" s="7">
        <v>8.0</v>
      </c>
      <c r="C45" s="8" t="str">
        <f>DATE('MODELO 2'!$A45,'MODELO 2'!$B45,1)</f>
        <v>8/1/2022</v>
      </c>
      <c r="D45" s="7">
        <v>562.0</v>
      </c>
      <c r="E45" s="7" t="str">
        <f>IF('MODELO 2'!$B45=E$89,1,0)</f>
        <v>0</v>
      </c>
      <c r="F45" s="7" t="str">
        <f>IF('MODELO 2'!$B45=F$89,1,0)</f>
        <v>0</v>
      </c>
      <c r="G45" s="7" t="str">
        <f>IF('MODELO 2'!$B45=G$89,1,0)</f>
        <v>0</v>
      </c>
      <c r="H45" s="7" t="str">
        <f>IF('MODELO 2'!$B45=H$89,1,0)</f>
        <v>0</v>
      </c>
      <c r="I45" s="7" t="str">
        <f>IF('MODELO 2'!$B45=I$89,1,0)</f>
        <v>0</v>
      </c>
      <c r="J45" s="7" t="str">
        <f>IF('MODELO 2'!$B45=J$89,1,0)</f>
        <v>0</v>
      </c>
      <c r="K45" s="7" t="str">
        <f>IF('MODELO 2'!$B45=K$89,1,0)</f>
        <v>0</v>
      </c>
      <c r="L45" s="7" t="str">
        <f>IF('MODELO 2'!$B45=L$89,1,0)</f>
        <v>1</v>
      </c>
      <c r="M45" s="7" t="str">
        <f>IF('MODELO 2'!$B45=M$89,1,0)</f>
        <v>0</v>
      </c>
      <c r="N45" s="7" t="str">
        <f>IF('MODELO 2'!$B45=N$89,1,0)</f>
        <v>0</v>
      </c>
      <c r="O45" s="7" t="str">
        <f>IF('MODELO 2'!$B45=O$89,1,0)</f>
        <v>0</v>
      </c>
      <c r="P45" s="7" t="str">
        <f>IF('MODELO 2'!$B45=P$89,1,0)</f>
        <v>0</v>
      </c>
      <c r="R45">
        <v>9.0</v>
      </c>
      <c r="S45">
        <v>610.0</v>
      </c>
      <c r="T45">
        <v>2.0</v>
      </c>
      <c r="U45">
        <v>0.02181029236426648</v>
      </c>
      <c r="W45">
        <v>9.770114942528735</v>
      </c>
      <c r="X45">
        <v>406.0</v>
      </c>
    </row>
    <row r="46" ht="22.5" customHeight="1">
      <c r="A46" s="7">
        <v>2022.0</v>
      </c>
      <c r="B46" s="7">
        <v>9.0</v>
      </c>
      <c r="C46" s="8" t="str">
        <f>DATE('MODELO 2'!$A46,'MODELO 2'!$B46,1)</f>
        <v>9/1/2022</v>
      </c>
      <c r="D46" s="7">
        <v>637.0</v>
      </c>
      <c r="E46" s="7" t="str">
        <f>IF('MODELO 2'!$B46=E$89,1,0)</f>
        <v>0</v>
      </c>
      <c r="F46" s="7" t="str">
        <f>IF('MODELO 2'!$B46=F$89,1,0)</f>
        <v>0</v>
      </c>
      <c r="G46" s="7" t="str">
        <f>IF('MODELO 2'!$B46=G$89,1,0)</f>
        <v>0</v>
      </c>
      <c r="H46" s="7" t="str">
        <f>IF('MODELO 2'!$B46=H$89,1,0)</f>
        <v>0</v>
      </c>
      <c r="I46" s="7" t="str">
        <f>IF('MODELO 2'!$B46=I$89,1,0)</f>
        <v>0</v>
      </c>
      <c r="J46" s="7" t="str">
        <f>IF('MODELO 2'!$B46=J$89,1,0)</f>
        <v>0</v>
      </c>
      <c r="K46" s="7" t="str">
        <f>IF('MODELO 2'!$B46=K$89,1,0)</f>
        <v>0</v>
      </c>
      <c r="L46" s="7" t="str">
        <f>IF('MODELO 2'!$B46=L$89,1,0)</f>
        <v>0</v>
      </c>
      <c r="M46" s="7" t="str">
        <f>IF('MODELO 2'!$B46=M$89,1,0)</f>
        <v>1</v>
      </c>
      <c r="N46" s="7" t="str">
        <f>IF('MODELO 2'!$B46=N$89,1,0)</f>
        <v>0</v>
      </c>
      <c r="O46" s="7" t="str">
        <f>IF('MODELO 2'!$B46=O$89,1,0)</f>
        <v>0</v>
      </c>
      <c r="P46" s="7" t="str">
        <f>IF('MODELO 2'!$B46=P$89,1,0)</f>
        <v>0</v>
      </c>
      <c r="R46">
        <v>10.0</v>
      </c>
      <c r="S46">
        <v>572.2857142857143</v>
      </c>
      <c r="T46">
        <v>106.71428571428567</v>
      </c>
      <c r="U46">
        <v>1.1637348854362182</v>
      </c>
      <c r="W46">
        <v>10.919540229885058</v>
      </c>
      <c r="X46">
        <v>411.0</v>
      </c>
    </row>
    <row r="47" ht="22.5" customHeight="1">
      <c r="A47" s="7">
        <v>2022.0</v>
      </c>
      <c r="B47" s="7">
        <v>10.0</v>
      </c>
      <c r="C47" s="8" t="str">
        <f>DATE('MODELO 2'!$A47,'MODELO 2'!$B47,1)</f>
        <v>10/1/2022</v>
      </c>
      <c r="D47" s="7">
        <v>602.0</v>
      </c>
      <c r="E47" s="7" t="str">
        <f>IF('MODELO 2'!$B47=E$89,1,0)</f>
        <v>0</v>
      </c>
      <c r="F47" s="7" t="str">
        <f>IF('MODELO 2'!$B47=F$89,1,0)</f>
        <v>0</v>
      </c>
      <c r="G47" s="7" t="str">
        <f>IF('MODELO 2'!$B47=G$89,1,0)</f>
        <v>0</v>
      </c>
      <c r="H47" s="7" t="str">
        <f>IF('MODELO 2'!$B47=H$89,1,0)</f>
        <v>0</v>
      </c>
      <c r="I47" s="7" t="str">
        <f>IF('MODELO 2'!$B47=I$89,1,0)</f>
        <v>0</v>
      </c>
      <c r="J47" s="7" t="str">
        <f>IF('MODELO 2'!$B47=J$89,1,0)</f>
        <v>0</v>
      </c>
      <c r="K47" s="7" t="str">
        <f>IF('MODELO 2'!$B47=K$89,1,0)</f>
        <v>0</v>
      </c>
      <c r="L47" s="7" t="str">
        <f>IF('MODELO 2'!$B47=L$89,1,0)</f>
        <v>0</v>
      </c>
      <c r="M47" s="7" t="str">
        <f>IF('MODELO 2'!$B47=M$89,1,0)</f>
        <v>0</v>
      </c>
      <c r="N47" s="7" t="str">
        <f>IF('MODELO 2'!$B47=N$89,1,0)</f>
        <v>1</v>
      </c>
      <c r="O47" s="7" t="str">
        <f>IF('MODELO 2'!$B47=O$89,1,0)</f>
        <v>0</v>
      </c>
      <c r="P47" s="7" t="str">
        <f>IF('MODELO 2'!$B47=P$89,1,0)</f>
        <v>0</v>
      </c>
      <c r="R47">
        <v>11.0</v>
      </c>
      <c r="S47">
        <v>512.142857142857</v>
      </c>
      <c r="T47">
        <v>111.857142857143</v>
      </c>
      <c r="U47">
        <v>1.2198184943729056</v>
      </c>
      <c r="W47">
        <v>12.068965517241379</v>
      </c>
      <c r="X47">
        <v>412.0</v>
      </c>
    </row>
    <row r="48" ht="22.5" customHeight="1">
      <c r="A48" s="7">
        <v>2022.0</v>
      </c>
      <c r="B48" s="7">
        <v>11.0</v>
      </c>
      <c r="C48" s="8" t="str">
        <f>DATE('MODELO 2'!$A48,'MODELO 2'!$B48,1)</f>
        <v>11/1/2022</v>
      </c>
      <c r="D48" s="7">
        <v>430.0</v>
      </c>
      <c r="E48" s="7" t="str">
        <f>IF('MODELO 2'!$B48=E$89,1,0)</f>
        <v>0</v>
      </c>
      <c r="F48" s="7" t="str">
        <f>IF('MODELO 2'!$B48=F$89,1,0)</f>
        <v>0</v>
      </c>
      <c r="G48" s="7" t="str">
        <f>IF('MODELO 2'!$B48=G$89,1,0)</f>
        <v>0</v>
      </c>
      <c r="H48" s="7" t="str">
        <f>IF('MODELO 2'!$B48=H$89,1,0)</f>
        <v>0</v>
      </c>
      <c r="I48" s="7" t="str">
        <f>IF('MODELO 2'!$B48=I$89,1,0)</f>
        <v>0</v>
      </c>
      <c r="J48" s="7" t="str">
        <f>IF('MODELO 2'!$B48=J$89,1,0)</f>
        <v>0</v>
      </c>
      <c r="K48" s="7" t="str">
        <f>IF('MODELO 2'!$B48=K$89,1,0)</f>
        <v>0</v>
      </c>
      <c r="L48" s="7" t="str">
        <f>IF('MODELO 2'!$B48=L$89,1,0)</f>
        <v>0</v>
      </c>
      <c r="M48" s="7" t="str">
        <f>IF('MODELO 2'!$B48=M$89,1,0)</f>
        <v>0</v>
      </c>
      <c r="N48" s="7" t="str">
        <f>IF('MODELO 2'!$B48=N$89,1,0)</f>
        <v>0</v>
      </c>
      <c r="O48" s="7" t="str">
        <f>IF('MODELO 2'!$B48=O$89,1,0)</f>
        <v>1</v>
      </c>
      <c r="P48" s="7" t="str">
        <f>IF('MODELO 2'!$B48=P$89,1,0)</f>
        <v>0</v>
      </c>
      <c r="R48">
        <v>12.0</v>
      </c>
      <c r="S48">
        <v>574.9999999999998</v>
      </c>
      <c r="T48">
        <v>125.00000000000023</v>
      </c>
      <c r="U48">
        <v>1.3631432727666577</v>
      </c>
      <c r="W48">
        <v>13.2183908045977</v>
      </c>
      <c r="X48">
        <v>417.0</v>
      </c>
    </row>
    <row r="49" ht="22.5" customHeight="1">
      <c r="A49" s="7">
        <v>2022.0</v>
      </c>
      <c r="B49" s="7">
        <v>12.0</v>
      </c>
      <c r="C49" s="8" t="str">
        <f>DATE('MODELO 2'!$A49,'MODELO 2'!$B49,1)</f>
        <v>12/1/2022</v>
      </c>
      <c r="D49" s="7">
        <v>541.0</v>
      </c>
      <c r="E49" s="7" t="str">
        <f>IF('MODELO 2'!$B49=E$89,1,0)</f>
        <v>0</v>
      </c>
      <c r="F49" s="7" t="str">
        <f>IF('MODELO 2'!$B49=F$89,1,0)</f>
        <v>0</v>
      </c>
      <c r="G49" s="7" t="str">
        <f>IF('MODELO 2'!$B49=G$89,1,0)</f>
        <v>0</v>
      </c>
      <c r="H49" s="7" t="str">
        <f>IF('MODELO 2'!$B49=H$89,1,0)</f>
        <v>0</v>
      </c>
      <c r="I49" s="7" t="str">
        <f>IF('MODELO 2'!$B49=I$89,1,0)</f>
        <v>0</v>
      </c>
      <c r="J49" s="7" t="str">
        <f>IF('MODELO 2'!$B49=J$89,1,0)</f>
        <v>0</v>
      </c>
      <c r="K49" s="7" t="str">
        <f>IF('MODELO 2'!$B49=K$89,1,0)</f>
        <v>0</v>
      </c>
      <c r="L49" s="7" t="str">
        <f>IF('MODELO 2'!$B49=L$89,1,0)</f>
        <v>0</v>
      </c>
      <c r="M49" s="7" t="str">
        <f>IF('MODELO 2'!$B49=M$89,1,0)</f>
        <v>0</v>
      </c>
      <c r="N49" s="7" t="str">
        <f>IF('MODELO 2'!$B49=N$89,1,0)</f>
        <v>0</v>
      </c>
      <c r="O49" s="7" t="str">
        <f>IF('MODELO 2'!$B49=O$89,1,0)</f>
        <v>0</v>
      </c>
      <c r="P49" s="7" t="str">
        <f>IF('MODELO 2'!$B49=P$89,1,0)</f>
        <v>1</v>
      </c>
      <c r="R49">
        <v>13.0</v>
      </c>
      <c r="S49">
        <v>492.9999999999999</v>
      </c>
      <c r="T49">
        <v>104.00000000000011</v>
      </c>
      <c r="U49">
        <v>1.1341352029418583</v>
      </c>
      <c r="W49">
        <v>14.367816091954023</v>
      </c>
      <c r="X49">
        <v>422.0</v>
      </c>
    </row>
    <row r="50" ht="22.5" customHeight="1">
      <c r="A50" s="7">
        <v>2023.0</v>
      </c>
      <c r="B50" s="7">
        <v>1.0</v>
      </c>
      <c r="C50" s="8" t="str">
        <f>DATE('MODELO 2'!$A50,'MODELO 2'!$B50,1)</f>
        <v>1/1/2023</v>
      </c>
      <c r="D50" s="7">
        <v>496.0</v>
      </c>
      <c r="E50" s="7" t="str">
        <f>IF('MODELO 2'!$B50=E$89,1,0)</f>
        <v>1</v>
      </c>
      <c r="F50" s="7" t="str">
        <f>IF('MODELO 2'!$B50=F$89,1,0)</f>
        <v>0</v>
      </c>
      <c r="G50" s="7" t="str">
        <f>IF('MODELO 2'!$B50=G$89,1,0)</f>
        <v>0</v>
      </c>
      <c r="H50" s="7" t="str">
        <f>IF('MODELO 2'!$B50=H$89,1,0)</f>
        <v>0</v>
      </c>
      <c r="I50" s="7" t="str">
        <f>IF('MODELO 2'!$B50=I$89,1,0)</f>
        <v>0</v>
      </c>
      <c r="J50" s="7" t="str">
        <f>IF('MODELO 2'!$B50=J$89,1,0)</f>
        <v>0</v>
      </c>
      <c r="K50" s="7" t="str">
        <f>IF('MODELO 2'!$B50=K$89,1,0)</f>
        <v>0</v>
      </c>
      <c r="L50" s="7" t="str">
        <f>IF('MODELO 2'!$B50=L$89,1,0)</f>
        <v>0</v>
      </c>
      <c r="M50" s="7" t="str">
        <f>IF('MODELO 2'!$B50=M$89,1,0)</f>
        <v>0</v>
      </c>
      <c r="N50" s="7" t="str">
        <f>IF('MODELO 2'!$B50=N$89,1,0)</f>
        <v>0</v>
      </c>
      <c r="O50" s="7" t="str">
        <f>IF('MODELO 2'!$B50=O$89,1,0)</f>
        <v>0</v>
      </c>
      <c r="P50" s="7" t="str">
        <f>IF('MODELO 2'!$B50=P$89,1,0)</f>
        <v>0</v>
      </c>
      <c r="R50">
        <v>14.0</v>
      </c>
      <c r="S50">
        <v>479.5</v>
      </c>
      <c r="T50">
        <v>46.5</v>
      </c>
      <c r="U50">
        <v>0.5070892974691957</v>
      </c>
      <c r="W50">
        <v>15.517241379310345</v>
      </c>
      <c r="X50">
        <v>427.0</v>
      </c>
    </row>
    <row r="51" ht="22.5" customHeight="1">
      <c r="A51" s="7">
        <v>2023.0</v>
      </c>
      <c r="B51" s="7">
        <v>2.0</v>
      </c>
      <c r="C51" s="8" t="str">
        <f>DATE('MODELO 2'!$A51,'MODELO 2'!$B51,1)</f>
        <v>2/1/2023</v>
      </c>
      <c r="D51" s="7">
        <v>447.0</v>
      </c>
      <c r="E51" s="7" t="str">
        <f>IF('MODELO 2'!$B51=E$89,1,0)</f>
        <v>0</v>
      </c>
      <c r="F51" s="7" t="str">
        <f>IF('MODELO 2'!$B51=F$89,1,0)</f>
        <v>1</v>
      </c>
      <c r="G51" s="7" t="str">
        <f>IF('MODELO 2'!$B51=G$89,1,0)</f>
        <v>0</v>
      </c>
      <c r="H51" s="7" t="str">
        <f>IF('MODELO 2'!$B51=H$89,1,0)</f>
        <v>0</v>
      </c>
      <c r="I51" s="7" t="str">
        <f>IF('MODELO 2'!$B51=I$89,1,0)</f>
        <v>0</v>
      </c>
      <c r="J51" s="7" t="str">
        <f>IF('MODELO 2'!$B51=J$89,1,0)</f>
        <v>0</v>
      </c>
      <c r="K51" s="7" t="str">
        <f>IF('MODELO 2'!$B51=K$89,1,0)</f>
        <v>0</v>
      </c>
      <c r="L51" s="7" t="str">
        <f>IF('MODELO 2'!$B51=L$89,1,0)</f>
        <v>0</v>
      </c>
      <c r="M51" s="7" t="str">
        <f>IF('MODELO 2'!$B51=M$89,1,0)</f>
        <v>0</v>
      </c>
      <c r="N51" s="7" t="str">
        <f>IF('MODELO 2'!$B51=N$89,1,0)</f>
        <v>0</v>
      </c>
      <c r="O51" s="7" t="str">
        <f>IF('MODELO 2'!$B51=O$89,1,0)</f>
        <v>0</v>
      </c>
      <c r="P51" s="7" t="str">
        <f>IF('MODELO 2'!$B51=P$89,1,0)</f>
        <v>0</v>
      </c>
      <c r="R51">
        <v>15.0</v>
      </c>
      <c r="S51">
        <v>525.2499999999999</v>
      </c>
      <c r="T51">
        <v>37.750000000000114</v>
      </c>
      <c r="U51">
        <v>0.4116692683755311</v>
      </c>
      <c r="W51">
        <v>16.666666666666664</v>
      </c>
      <c r="X51">
        <v>427.0</v>
      </c>
    </row>
    <row r="52" ht="22.5" customHeight="1">
      <c r="A52" s="7">
        <v>2023.0</v>
      </c>
      <c r="B52" s="7">
        <v>3.0</v>
      </c>
      <c r="C52" s="8" t="str">
        <f>DATE('MODELO 2'!$A52,'MODELO 2'!$B52,1)</f>
        <v>3/1/2023</v>
      </c>
      <c r="D52" s="7">
        <v>427.0</v>
      </c>
      <c r="E52" s="7" t="str">
        <f>IF('MODELO 2'!$B52=E$89,1,0)</f>
        <v>0</v>
      </c>
      <c r="F52" s="7" t="str">
        <f>IF('MODELO 2'!$B52=F$89,1,0)</f>
        <v>0</v>
      </c>
      <c r="G52" s="7" t="str">
        <f>IF('MODELO 2'!$B52=G$89,1,0)</f>
        <v>1</v>
      </c>
      <c r="H52" s="7" t="str">
        <f>IF('MODELO 2'!$B52=H$89,1,0)</f>
        <v>0</v>
      </c>
      <c r="I52" s="7" t="str">
        <f>IF('MODELO 2'!$B52=I$89,1,0)</f>
        <v>0</v>
      </c>
      <c r="J52" s="7" t="str">
        <f>IF('MODELO 2'!$B52=J$89,1,0)</f>
        <v>0</v>
      </c>
      <c r="K52" s="7" t="str">
        <f>IF('MODELO 2'!$B52=K$89,1,0)</f>
        <v>0</v>
      </c>
      <c r="L52" s="7" t="str">
        <f>IF('MODELO 2'!$B52=L$89,1,0)</f>
        <v>0</v>
      </c>
      <c r="M52" s="7" t="str">
        <f>IF('MODELO 2'!$B52=M$89,1,0)</f>
        <v>0</v>
      </c>
      <c r="N52" s="7" t="str">
        <f>IF('MODELO 2'!$B52=N$89,1,0)</f>
        <v>0</v>
      </c>
      <c r="O52" s="7" t="str">
        <f>IF('MODELO 2'!$B52=O$89,1,0)</f>
        <v>0</v>
      </c>
      <c r="P52" s="7" t="str">
        <f>IF('MODELO 2'!$B52=P$89,1,0)</f>
        <v>0</v>
      </c>
      <c r="R52">
        <v>16.0</v>
      </c>
      <c r="S52">
        <v>513.7142857142858</v>
      </c>
      <c r="T52">
        <v>-173.71428571428578</v>
      </c>
      <c r="U52">
        <v>-1.8943796796391466</v>
      </c>
      <c r="W52">
        <v>17.816091954022987</v>
      </c>
      <c r="X52">
        <v>428.0</v>
      </c>
    </row>
    <row r="53" ht="22.5" customHeight="1">
      <c r="A53" s="7">
        <v>2023.0</v>
      </c>
      <c r="B53" s="7">
        <v>4.0</v>
      </c>
      <c r="C53" s="8" t="str">
        <f>DATE('MODELO 2'!$A53,'MODELO 2'!$B53,1)</f>
        <v>4/1/2023</v>
      </c>
      <c r="D53" s="7">
        <v>582.0</v>
      </c>
      <c r="E53" s="7" t="str">
        <f>IF('MODELO 2'!$B53=E$89,1,0)</f>
        <v>0</v>
      </c>
      <c r="F53" s="7" t="str">
        <f>IF('MODELO 2'!$B53=F$89,1,0)</f>
        <v>0</v>
      </c>
      <c r="G53" s="7" t="str">
        <f>IF('MODELO 2'!$B53=G$89,1,0)</f>
        <v>0</v>
      </c>
      <c r="H53" s="7" t="str">
        <f>IF('MODELO 2'!$B53=H$89,1,0)</f>
        <v>1</v>
      </c>
      <c r="I53" s="7" t="str">
        <f>IF('MODELO 2'!$B53=I$89,1,0)</f>
        <v>0</v>
      </c>
      <c r="J53" s="7" t="str">
        <f>IF('MODELO 2'!$B53=J$89,1,0)</f>
        <v>0</v>
      </c>
      <c r="K53" s="7" t="str">
        <f>IF('MODELO 2'!$B53=K$89,1,0)</f>
        <v>0</v>
      </c>
      <c r="L53" s="7" t="str">
        <f>IF('MODELO 2'!$B53=L$89,1,0)</f>
        <v>0</v>
      </c>
      <c r="M53" s="7" t="str">
        <f>IF('MODELO 2'!$B53=M$89,1,0)</f>
        <v>0</v>
      </c>
      <c r="N53" s="7" t="str">
        <f>IF('MODELO 2'!$B53=N$89,1,0)</f>
        <v>0</v>
      </c>
      <c r="O53" s="7" t="str">
        <f>IF('MODELO 2'!$B53=O$89,1,0)</f>
        <v>0</v>
      </c>
      <c r="P53" s="7" t="str">
        <f>IF('MODELO 2'!$B53=P$89,1,0)</f>
        <v>0</v>
      </c>
      <c r="R53">
        <v>17.0</v>
      </c>
      <c r="S53">
        <v>572.1428571428571</v>
      </c>
      <c r="T53">
        <v>-124.14285714285711</v>
      </c>
      <c r="U53">
        <v>-1.3537960046105406</v>
      </c>
      <c r="W53">
        <v>18.96551724137931</v>
      </c>
      <c r="X53">
        <v>430.0</v>
      </c>
    </row>
    <row r="54" ht="22.5" customHeight="1">
      <c r="A54" s="7">
        <v>2023.0</v>
      </c>
      <c r="B54" s="7">
        <v>5.0</v>
      </c>
      <c r="C54" s="8" t="str">
        <f>DATE('MODELO 2'!$A54,'MODELO 2'!$B54,1)</f>
        <v>5/1/2023</v>
      </c>
      <c r="D54" s="7">
        <v>740.0</v>
      </c>
      <c r="E54" s="7" t="str">
        <f>IF('MODELO 2'!$B54=E$89,1,0)</f>
        <v>0</v>
      </c>
      <c r="F54" s="7" t="str">
        <f>IF('MODELO 2'!$B54=F$89,1,0)</f>
        <v>0</v>
      </c>
      <c r="G54" s="7" t="str">
        <f>IF('MODELO 2'!$B54=G$89,1,0)</f>
        <v>0</v>
      </c>
      <c r="H54" s="7" t="str">
        <f>IF('MODELO 2'!$B54=H$89,1,0)</f>
        <v>0</v>
      </c>
      <c r="I54" s="7" t="str">
        <f>IF('MODELO 2'!$B54=I$89,1,0)</f>
        <v>1</v>
      </c>
      <c r="J54" s="7" t="str">
        <f>IF('MODELO 2'!$B54=J$89,1,0)</f>
        <v>0</v>
      </c>
      <c r="K54" s="7" t="str">
        <f>IF('MODELO 2'!$B54=K$89,1,0)</f>
        <v>0</v>
      </c>
      <c r="L54" s="7" t="str">
        <f>IF('MODELO 2'!$B54=L$89,1,0)</f>
        <v>0</v>
      </c>
      <c r="M54" s="7" t="str">
        <f>IF('MODELO 2'!$B54=M$89,1,0)</f>
        <v>0</v>
      </c>
      <c r="N54" s="7" t="str">
        <f>IF('MODELO 2'!$B54=N$89,1,0)</f>
        <v>0</v>
      </c>
      <c r="O54" s="7" t="str">
        <f>IF('MODELO 2'!$B54=O$89,1,0)</f>
        <v>0</v>
      </c>
      <c r="P54" s="7" t="str">
        <f>IF('MODELO 2'!$B54=P$89,1,0)</f>
        <v>0</v>
      </c>
      <c r="R54">
        <v>18.0</v>
      </c>
      <c r="S54">
        <v>617.142857142857</v>
      </c>
      <c r="T54">
        <v>-131.142857142857</v>
      </c>
      <c r="U54">
        <v>-1.430132027885472</v>
      </c>
      <c r="W54">
        <v>20.114942528735632</v>
      </c>
      <c r="X54">
        <v>432.0</v>
      </c>
    </row>
    <row r="55" ht="22.5" customHeight="1">
      <c r="A55" s="7">
        <v>2023.0</v>
      </c>
      <c r="B55" s="7">
        <v>6.0</v>
      </c>
      <c r="C55" s="8" t="str">
        <f>DATE('MODELO 2'!$A55,'MODELO 2'!$B55,1)</f>
        <v>6/1/2023</v>
      </c>
      <c r="D55" s="7">
        <v>724.0</v>
      </c>
      <c r="E55" s="7" t="str">
        <f>IF('MODELO 2'!$B55=E$89,1,0)</f>
        <v>0</v>
      </c>
      <c r="F55" s="7" t="str">
        <f>IF('MODELO 2'!$B55=F$89,1,0)</f>
        <v>0</v>
      </c>
      <c r="G55" s="7" t="str">
        <f>IF('MODELO 2'!$B55=G$89,1,0)</f>
        <v>0</v>
      </c>
      <c r="H55" s="7" t="str">
        <f>IF('MODELO 2'!$B55=H$89,1,0)</f>
        <v>0</v>
      </c>
      <c r="I55" s="7" t="str">
        <f>IF('MODELO 2'!$B55=I$89,1,0)</f>
        <v>0</v>
      </c>
      <c r="J55" s="7" t="str">
        <f>IF('MODELO 2'!$B55=J$89,1,0)</f>
        <v>1</v>
      </c>
      <c r="K55" s="7" t="str">
        <f>IF('MODELO 2'!$B55=K$89,1,0)</f>
        <v>0</v>
      </c>
      <c r="L55" s="7" t="str">
        <f>IF('MODELO 2'!$B55=L$89,1,0)</f>
        <v>0</v>
      </c>
      <c r="M55" s="7" t="str">
        <f>IF('MODELO 2'!$B55=M$89,1,0)</f>
        <v>0</v>
      </c>
      <c r="N55" s="7" t="str">
        <f>IF('MODELO 2'!$B55=N$89,1,0)</f>
        <v>0</v>
      </c>
      <c r="O55" s="7" t="str">
        <f>IF('MODELO 2'!$B55=O$89,1,0)</f>
        <v>0</v>
      </c>
      <c r="P55" s="7" t="str">
        <f>IF('MODELO 2'!$B55=P$89,1,0)</f>
        <v>0</v>
      </c>
      <c r="R55">
        <v>19.0</v>
      </c>
      <c r="S55">
        <v>622.4285714285713</v>
      </c>
      <c r="T55">
        <v>-105.42857142857133</v>
      </c>
      <c r="U55">
        <v>-1.1497139832020464</v>
      </c>
      <c r="W55">
        <v>21.264367816091955</v>
      </c>
      <c r="X55">
        <v>447.0</v>
      </c>
    </row>
    <row r="56" ht="22.5" customHeight="1">
      <c r="A56" s="7">
        <v>2023.0</v>
      </c>
      <c r="B56" s="7">
        <v>7.0</v>
      </c>
      <c r="C56" s="8" t="str">
        <f>DATE('MODELO 2'!$A56,'MODELO 2'!$B56,1)</f>
        <v>7/1/2023</v>
      </c>
      <c r="D56" s="7">
        <v>657.0</v>
      </c>
      <c r="E56" s="7" t="str">
        <f>IF('MODELO 2'!$B56=E$89,1,0)</f>
        <v>0</v>
      </c>
      <c r="F56" s="7" t="str">
        <f>IF('MODELO 2'!$B56=F$89,1,0)</f>
        <v>0</v>
      </c>
      <c r="G56" s="7" t="str">
        <f>IF('MODELO 2'!$B56=G$89,1,0)</f>
        <v>0</v>
      </c>
      <c r="H56" s="7" t="str">
        <f>IF('MODELO 2'!$B56=H$89,1,0)</f>
        <v>0</v>
      </c>
      <c r="I56" s="7" t="str">
        <f>IF('MODELO 2'!$B56=I$89,1,0)</f>
        <v>0</v>
      </c>
      <c r="J56" s="7" t="str">
        <f>IF('MODELO 2'!$B56=J$89,1,0)</f>
        <v>0</v>
      </c>
      <c r="K56" s="7" t="str">
        <f>IF('MODELO 2'!$B56=K$89,1,0)</f>
        <v>1</v>
      </c>
      <c r="L56" s="7" t="str">
        <f>IF('MODELO 2'!$B56=L$89,1,0)</f>
        <v>0</v>
      </c>
      <c r="M56" s="7" t="str">
        <f>IF('MODELO 2'!$B56=M$89,1,0)</f>
        <v>0</v>
      </c>
      <c r="N56" s="7" t="str">
        <f>IF('MODELO 2'!$B56=N$89,1,0)</f>
        <v>0</v>
      </c>
      <c r="O56" s="7" t="str">
        <f>IF('MODELO 2'!$B56=O$89,1,0)</f>
        <v>0</v>
      </c>
      <c r="P56" s="7" t="str">
        <f>IF('MODELO 2'!$B56=P$89,1,0)</f>
        <v>0</v>
      </c>
      <c r="R56">
        <v>20.0</v>
      </c>
      <c r="S56">
        <v>621.0</v>
      </c>
      <c r="T56">
        <v>-219.0</v>
      </c>
      <c r="U56">
        <v>-2.38822701388718</v>
      </c>
      <c r="W56">
        <v>22.413793103448274</v>
      </c>
      <c r="X56">
        <v>448.0</v>
      </c>
    </row>
    <row r="57" ht="22.5" customHeight="1">
      <c r="A57" s="7">
        <v>2023.0</v>
      </c>
      <c r="B57" s="7">
        <v>8.0</v>
      </c>
      <c r="C57" s="8" t="str">
        <f>DATE('MODELO 2'!$A57,'MODELO 2'!$B57,1)</f>
        <v>8/1/2023</v>
      </c>
      <c r="D57" s="7">
        <v>625.0</v>
      </c>
      <c r="E57" s="7" t="str">
        <f>IF('MODELO 2'!$B57=E$89,1,0)</f>
        <v>0</v>
      </c>
      <c r="F57" s="7" t="str">
        <f>IF('MODELO 2'!$B57=F$89,1,0)</f>
        <v>0</v>
      </c>
      <c r="G57" s="7" t="str">
        <f>IF('MODELO 2'!$B57=G$89,1,0)</f>
        <v>0</v>
      </c>
      <c r="H57" s="7" t="str">
        <f>IF('MODELO 2'!$B57=H$89,1,0)</f>
        <v>0</v>
      </c>
      <c r="I57" s="7" t="str">
        <f>IF('MODELO 2'!$B57=I$89,1,0)</f>
        <v>0</v>
      </c>
      <c r="J57" s="7" t="str">
        <f>IF('MODELO 2'!$B57=J$89,1,0)</f>
        <v>0</v>
      </c>
      <c r="K57" s="7" t="str">
        <f>IF('MODELO 2'!$B57=K$89,1,0)</f>
        <v>0</v>
      </c>
      <c r="L57" s="7" t="str">
        <f>IF('MODELO 2'!$B57=L$89,1,0)</f>
        <v>1</v>
      </c>
      <c r="M57" s="7" t="str">
        <f>IF('MODELO 2'!$B57=M$89,1,0)</f>
        <v>0</v>
      </c>
      <c r="N57" s="7" t="str">
        <f>IF('MODELO 2'!$B57=N$89,1,0)</f>
        <v>0</v>
      </c>
      <c r="O57" s="7" t="str">
        <f>IF('MODELO 2'!$B57=O$89,1,0)</f>
        <v>0</v>
      </c>
      <c r="P57" s="7" t="str">
        <f>IF('MODELO 2'!$B57=P$89,1,0)</f>
        <v>0</v>
      </c>
      <c r="R57">
        <v>21.0</v>
      </c>
      <c r="S57">
        <v>610.0</v>
      </c>
      <c r="T57">
        <v>-204.0</v>
      </c>
      <c r="U57">
        <v>-2.224649821155181</v>
      </c>
      <c r="W57">
        <v>23.563218390804597</v>
      </c>
      <c r="X57">
        <v>456.0</v>
      </c>
    </row>
    <row r="58" ht="22.5" customHeight="1">
      <c r="A58" s="7">
        <v>2023.0</v>
      </c>
      <c r="B58" s="7">
        <v>9.0</v>
      </c>
      <c r="C58" s="8" t="str">
        <f>DATE('MODELO 2'!$A58,'MODELO 2'!$B58,1)</f>
        <v>9/1/2023</v>
      </c>
      <c r="D58" s="7">
        <v>685.0</v>
      </c>
      <c r="E58" s="7" t="str">
        <f>IF('MODELO 2'!$B58=E$89,1,0)</f>
        <v>0</v>
      </c>
      <c r="F58" s="7" t="str">
        <f>IF('MODELO 2'!$B58=F$89,1,0)</f>
        <v>0</v>
      </c>
      <c r="G58" s="7" t="str">
        <f>IF('MODELO 2'!$B58=G$89,1,0)</f>
        <v>0</v>
      </c>
      <c r="H58" s="7" t="str">
        <f>IF('MODELO 2'!$B58=H$89,1,0)</f>
        <v>0</v>
      </c>
      <c r="I58" s="7" t="str">
        <f>IF('MODELO 2'!$B58=I$89,1,0)</f>
        <v>0</v>
      </c>
      <c r="J58" s="7" t="str">
        <f>IF('MODELO 2'!$B58=J$89,1,0)</f>
        <v>0</v>
      </c>
      <c r="K58" s="7" t="str">
        <f>IF('MODELO 2'!$B58=K$89,1,0)</f>
        <v>0</v>
      </c>
      <c r="L58" s="7" t="str">
        <f>IF('MODELO 2'!$B58=L$89,1,0)</f>
        <v>0</v>
      </c>
      <c r="M58" s="7" t="str">
        <f>IF('MODELO 2'!$B58=M$89,1,0)</f>
        <v>1</v>
      </c>
      <c r="N58" s="7" t="str">
        <f>IF('MODELO 2'!$B58=N$89,1,0)</f>
        <v>0</v>
      </c>
      <c r="O58" s="7" t="str">
        <f>IF('MODELO 2'!$B58=O$89,1,0)</f>
        <v>0</v>
      </c>
      <c r="P58" s="7" t="str">
        <f>IF('MODELO 2'!$B58=P$89,1,0)</f>
        <v>0</v>
      </c>
      <c r="R58">
        <v>22.0</v>
      </c>
      <c r="S58">
        <v>572.2857142857143</v>
      </c>
      <c r="T58">
        <v>-116.28571428571433</v>
      </c>
      <c r="U58">
        <v>-1.2681127131794945</v>
      </c>
      <c r="W58">
        <v>24.71264367816092</v>
      </c>
      <c r="X58">
        <v>481.0</v>
      </c>
    </row>
    <row r="59" ht="22.5" customHeight="1">
      <c r="A59" s="7">
        <v>2023.0</v>
      </c>
      <c r="B59" s="7">
        <v>10.0</v>
      </c>
      <c r="C59" s="8" t="str">
        <f>DATE('MODELO 2'!$A59,'MODELO 2'!$B59,1)</f>
        <v>10/1/2023</v>
      </c>
      <c r="D59" s="7">
        <v>658.0</v>
      </c>
      <c r="E59" s="7" t="str">
        <f>IF('MODELO 2'!$B59=E$89,1,0)</f>
        <v>0</v>
      </c>
      <c r="F59" s="7" t="str">
        <f>IF('MODELO 2'!$B59=F$89,1,0)</f>
        <v>0</v>
      </c>
      <c r="G59" s="7" t="str">
        <f>IF('MODELO 2'!$B59=G$89,1,0)</f>
        <v>0</v>
      </c>
      <c r="H59" s="7" t="str">
        <f>IF('MODELO 2'!$B59=H$89,1,0)</f>
        <v>0</v>
      </c>
      <c r="I59" s="7" t="str">
        <f>IF('MODELO 2'!$B59=I$89,1,0)</f>
        <v>0</v>
      </c>
      <c r="J59" s="7" t="str">
        <f>IF('MODELO 2'!$B59=J$89,1,0)</f>
        <v>0</v>
      </c>
      <c r="K59" s="7" t="str">
        <f>IF('MODELO 2'!$B59=K$89,1,0)</f>
        <v>0</v>
      </c>
      <c r="L59" s="7" t="str">
        <f>IF('MODELO 2'!$B59=L$89,1,0)</f>
        <v>0</v>
      </c>
      <c r="M59" s="7" t="str">
        <f>IF('MODELO 2'!$B59=M$89,1,0)</f>
        <v>0</v>
      </c>
      <c r="N59" s="7" t="str">
        <f>IF('MODELO 2'!$B59=N$89,1,0)</f>
        <v>1</v>
      </c>
      <c r="O59" s="7" t="str">
        <f>IF('MODELO 2'!$B59=O$89,1,0)</f>
        <v>0</v>
      </c>
      <c r="P59" s="7" t="str">
        <f>IF('MODELO 2'!$B59=P$89,1,0)</f>
        <v>0</v>
      </c>
      <c r="R59">
        <v>23.0</v>
      </c>
      <c r="S59">
        <v>512.142857142857</v>
      </c>
      <c r="T59">
        <v>-95.142857142857</v>
      </c>
      <c r="U59">
        <v>-1.0375467653286754</v>
      </c>
      <c r="W59">
        <v>25.86206896551724</v>
      </c>
      <c r="X59">
        <v>485.0</v>
      </c>
    </row>
    <row r="60" ht="22.5" customHeight="1">
      <c r="A60" s="7">
        <v>2023.0</v>
      </c>
      <c r="B60" s="7">
        <v>11.0</v>
      </c>
      <c r="C60" s="8" t="str">
        <f>DATE('MODELO 2'!$A60,'MODELO 2'!$B60,1)</f>
        <v>11/1/2023</v>
      </c>
      <c r="D60" s="7">
        <v>632.0</v>
      </c>
      <c r="E60" s="7" t="str">
        <f>IF('MODELO 2'!$B60=E$89,1,0)</f>
        <v>0</v>
      </c>
      <c r="F60" s="7" t="str">
        <f>IF('MODELO 2'!$B60=F$89,1,0)</f>
        <v>0</v>
      </c>
      <c r="G60" s="7" t="str">
        <f>IF('MODELO 2'!$B60=G$89,1,0)</f>
        <v>0</v>
      </c>
      <c r="H60" s="7" t="str">
        <f>IF('MODELO 2'!$B60=H$89,1,0)</f>
        <v>0</v>
      </c>
      <c r="I60" s="7" t="str">
        <f>IF('MODELO 2'!$B60=I$89,1,0)</f>
        <v>0</v>
      </c>
      <c r="J60" s="7" t="str">
        <f>IF('MODELO 2'!$B60=J$89,1,0)</f>
        <v>0</v>
      </c>
      <c r="K60" s="7" t="str">
        <f>IF('MODELO 2'!$B60=K$89,1,0)</f>
        <v>0</v>
      </c>
      <c r="L60" s="7" t="str">
        <f>IF('MODELO 2'!$B60=L$89,1,0)</f>
        <v>0</v>
      </c>
      <c r="M60" s="7" t="str">
        <f>IF('MODELO 2'!$B60=M$89,1,0)</f>
        <v>0</v>
      </c>
      <c r="N60" s="7" t="str">
        <f>IF('MODELO 2'!$B60=N$89,1,0)</f>
        <v>0</v>
      </c>
      <c r="O60" s="7" t="str">
        <f>IF('MODELO 2'!$B60=O$89,1,0)</f>
        <v>1</v>
      </c>
      <c r="P60" s="7" t="str">
        <f>IF('MODELO 2'!$B60=P$89,1,0)</f>
        <v>0</v>
      </c>
      <c r="R60">
        <v>24.0</v>
      </c>
      <c r="S60">
        <v>574.9999999999998</v>
      </c>
      <c r="T60">
        <v>-84.99999999999977</v>
      </c>
      <c r="U60">
        <v>-0.926937425481323</v>
      </c>
      <c r="W60">
        <v>27.01149425287356</v>
      </c>
      <c r="X60">
        <v>486.0</v>
      </c>
    </row>
    <row r="61" ht="22.5" customHeight="1">
      <c r="A61" s="7">
        <v>2023.0</v>
      </c>
      <c r="B61" s="7">
        <v>12.0</v>
      </c>
      <c r="C61" s="8" t="str">
        <f>DATE('MODELO 2'!$A61,'MODELO 2'!$B61,1)</f>
        <v>12/1/2023</v>
      </c>
      <c r="D61" s="7">
        <v>543.0</v>
      </c>
      <c r="E61" s="7" t="str">
        <f>IF('MODELO 2'!$B61=E$89,1,0)</f>
        <v>0</v>
      </c>
      <c r="F61" s="7" t="str">
        <f>IF('MODELO 2'!$B61=F$89,1,0)</f>
        <v>0</v>
      </c>
      <c r="G61" s="7" t="str">
        <f>IF('MODELO 2'!$B61=G$89,1,0)</f>
        <v>0</v>
      </c>
      <c r="H61" s="7" t="str">
        <f>IF('MODELO 2'!$B61=H$89,1,0)</f>
        <v>0</v>
      </c>
      <c r="I61" s="7" t="str">
        <f>IF('MODELO 2'!$B61=I$89,1,0)</f>
        <v>0</v>
      </c>
      <c r="J61" s="7" t="str">
        <f>IF('MODELO 2'!$B61=J$89,1,0)</f>
        <v>0</v>
      </c>
      <c r="K61" s="7" t="str">
        <f>IF('MODELO 2'!$B61=K$89,1,0)</f>
        <v>0</v>
      </c>
      <c r="L61" s="7" t="str">
        <f>IF('MODELO 2'!$B61=L$89,1,0)</f>
        <v>0</v>
      </c>
      <c r="M61" s="7" t="str">
        <f>IF('MODELO 2'!$B61=M$89,1,0)</f>
        <v>0</v>
      </c>
      <c r="N61" s="7" t="str">
        <f>IF('MODELO 2'!$B61=N$89,1,0)</f>
        <v>0</v>
      </c>
      <c r="O61" s="7" t="str">
        <f>IF('MODELO 2'!$B61=O$89,1,0)</f>
        <v>0</v>
      </c>
      <c r="P61" s="7" t="str">
        <f>IF('MODELO 2'!$B61=P$89,1,0)</f>
        <v>1</v>
      </c>
      <c r="R61">
        <v>25.0</v>
      </c>
      <c r="S61">
        <v>492.9999999999999</v>
      </c>
      <c r="T61">
        <v>-91.99999999999989</v>
      </c>
      <c r="U61">
        <v>-1.003273448756257</v>
      </c>
      <c r="W61">
        <v>28.160919540229884</v>
      </c>
      <c r="X61">
        <v>490.0</v>
      </c>
    </row>
    <row r="62" ht="22.5" customHeight="1">
      <c r="A62" s="7">
        <v>2024.0</v>
      </c>
      <c r="B62" s="7">
        <v>1.0</v>
      </c>
      <c r="C62" s="8" t="str">
        <f>DATE('MODELO 2'!$A62,'MODELO 2'!$B62,1)</f>
        <v>1/1/2024</v>
      </c>
      <c r="D62" s="7">
        <v>502.0</v>
      </c>
      <c r="E62" s="7" t="str">
        <f>IF('MODELO 2'!$B62=E$89,1,0)</f>
        <v>1</v>
      </c>
      <c r="F62" s="7" t="str">
        <f>IF('MODELO 2'!$B62=F$89,1,0)</f>
        <v>0</v>
      </c>
      <c r="G62" s="7" t="str">
        <f>IF('MODELO 2'!$B62=G$89,1,0)</f>
        <v>0</v>
      </c>
      <c r="H62" s="7" t="str">
        <f>IF('MODELO 2'!$B62=H$89,1,0)</f>
        <v>0</v>
      </c>
      <c r="I62" s="7" t="str">
        <f>IF('MODELO 2'!$B62=I$89,1,0)</f>
        <v>0</v>
      </c>
      <c r="J62" s="7" t="str">
        <f>IF('MODELO 2'!$B62=J$89,1,0)</f>
        <v>0</v>
      </c>
      <c r="K62" s="7" t="str">
        <f>IF('MODELO 2'!$B62=K$89,1,0)</f>
        <v>0</v>
      </c>
      <c r="L62" s="7" t="str">
        <f>IF('MODELO 2'!$B62=L$89,1,0)</f>
        <v>0</v>
      </c>
      <c r="M62" s="7" t="str">
        <f>IF('MODELO 2'!$B62=M$89,1,0)</f>
        <v>0</v>
      </c>
      <c r="N62" s="7" t="str">
        <f>IF('MODELO 2'!$B62=N$89,1,0)</f>
        <v>0</v>
      </c>
      <c r="O62" s="7" t="str">
        <f>IF('MODELO 2'!$B62=O$89,1,0)</f>
        <v>0</v>
      </c>
      <c r="P62" s="7" t="str">
        <f>IF('MODELO 2'!$B62=P$89,1,0)</f>
        <v>0</v>
      </c>
      <c r="R62">
        <v>26.0</v>
      </c>
      <c r="S62">
        <v>479.5</v>
      </c>
      <c r="T62">
        <v>-57.5</v>
      </c>
      <c r="U62">
        <v>-0.6270459054726614</v>
      </c>
      <c r="W62">
        <v>29.310344827586206</v>
      </c>
      <c r="X62">
        <v>496.0</v>
      </c>
    </row>
    <row r="63" ht="22.5" customHeight="1">
      <c r="A63" s="7">
        <v>2024.0</v>
      </c>
      <c r="B63" s="7">
        <v>2.0</v>
      </c>
      <c r="C63" s="8" t="str">
        <f>DATE('MODELO 2'!$A63,'MODELO 2'!$B63,1)</f>
        <v>2/1/2024</v>
      </c>
      <c r="D63" s="7">
        <v>403.0</v>
      </c>
      <c r="E63" s="7" t="str">
        <f>IF('MODELO 2'!$B63=E$89,1,0)</f>
        <v>0</v>
      </c>
      <c r="F63" s="7" t="str">
        <f>IF('MODELO 2'!$B63=F$89,1,0)</f>
        <v>1</v>
      </c>
      <c r="G63" s="7" t="str">
        <f>IF('MODELO 2'!$B63=G$89,1,0)</f>
        <v>0</v>
      </c>
      <c r="H63" s="7" t="str">
        <f>IF('MODELO 2'!$B63=H$89,1,0)</f>
        <v>0</v>
      </c>
      <c r="I63" s="7" t="str">
        <f>IF('MODELO 2'!$B63=I$89,1,0)</f>
        <v>0</v>
      </c>
      <c r="J63" s="7" t="str">
        <f>IF('MODELO 2'!$B63=J$89,1,0)</f>
        <v>0</v>
      </c>
      <c r="K63" s="7" t="str">
        <f>IF('MODELO 2'!$B63=K$89,1,0)</f>
        <v>0</v>
      </c>
      <c r="L63" s="7" t="str">
        <f>IF('MODELO 2'!$B63=L$89,1,0)</f>
        <v>0</v>
      </c>
      <c r="M63" s="7" t="str">
        <f>IF('MODELO 2'!$B63=M$89,1,0)</f>
        <v>0</v>
      </c>
      <c r="N63" s="7" t="str">
        <f>IF('MODELO 2'!$B63=N$89,1,0)</f>
        <v>0</v>
      </c>
      <c r="O63" s="7" t="str">
        <f>IF('MODELO 2'!$B63=O$89,1,0)</f>
        <v>0</v>
      </c>
      <c r="P63" s="7" t="str">
        <f>IF('MODELO 2'!$B63=P$89,1,0)</f>
        <v>0</v>
      </c>
      <c r="R63">
        <v>27.0</v>
      </c>
      <c r="S63">
        <v>525.2499999999999</v>
      </c>
      <c r="T63">
        <v>-40.249999999999886</v>
      </c>
      <c r="U63">
        <v>-0.4389321338308617</v>
      </c>
      <c r="W63">
        <v>30.45977011494253</v>
      </c>
      <c r="X63">
        <v>501.0</v>
      </c>
    </row>
    <row r="64" ht="22.5" customHeight="1">
      <c r="A64" s="7">
        <v>2024.0</v>
      </c>
      <c r="B64" s="7">
        <v>3.0</v>
      </c>
      <c r="C64" s="8" t="str">
        <f>DATE('MODELO 2'!$A64,'MODELO 2'!$B64,1)</f>
        <v>3/1/2024</v>
      </c>
      <c r="D64" s="7">
        <v>427.0</v>
      </c>
      <c r="E64" s="7" t="str">
        <f>IF('MODELO 2'!$B64=E$89,1,0)</f>
        <v>0</v>
      </c>
      <c r="F64" s="7" t="str">
        <f>IF('MODELO 2'!$B64=F$89,1,0)</f>
        <v>0</v>
      </c>
      <c r="G64" s="7" t="str">
        <f>IF('MODELO 2'!$B64=G$89,1,0)</f>
        <v>1</v>
      </c>
      <c r="H64" s="7" t="str">
        <f>IF('MODELO 2'!$B64=H$89,1,0)</f>
        <v>0</v>
      </c>
      <c r="I64" s="7" t="str">
        <f>IF('MODELO 2'!$B64=I$89,1,0)</f>
        <v>0</v>
      </c>
      <c r="J64" s="7" t="str">
        <f>IF('MODELO 2'!$B64=J$89,1,0)</f>
        <v>0</v>
      </c>
      <c r="K64" s="7" t="str">
        <f>IF('MODELO 2'!$B64=K$89,1,0)</f>
        <v>0</v>
      </c>
      <c r="L64" s="7" t="str">
        <f>IF('MODELO 2'!$B64=L$89,1,0)</f>
        <v>0</v>
      </c>
      <c r="M64" s="7" t="str">
        <f>IF('MODELO 2'!$B64=M$89,1,0)</f>
        <v>0</v>
      </c>
      <c r="N64" s="7" t="str">
        <f>IF('MODELO 2'!$B64=N$89,1,0)</f>
        <v>0</v>
      </c>
      <c r="O64" s="7" t="str">
        <f>IF('MODELO 2'!$B64=O$89,1,0)</f>
        <v>0</v>
      </c>
      <c r="P64" s="7" t="str">
        <f>IF('MODELO 2'!$B64=P$89,1,0)</f>
        <v>0</v>
      </c>
      <c r="R64">
        <v>28.0</v>
      </c>
      <c r="S64">
        <v>513.7142857142858</v>
      </c>
      <c r="T64">
        <v>-81.71428571428578</v>
      </c>
      <c r="U64">
        <v>-0.8911062308828884</v>
      </c>
      <c r="W64">
        <v>31.609195402298848</v>
      </c>
      <c r="X64">
        <v>502.0</v>
      </c>
    </row>
    <row r="65" ht="22.5" customHeight="1">
      <c r="A65" s="7">
        <v>2024.0</v>
      </c>
      <c r="B65" s="7">
        <v>4.0</v>
      </c>
      <c r="C65" s="8" t="str">
        <f>DATE('MODELO 2'!$A65,'MODELO 2'!$B65,1)</f>
        <v>4/1/2024</v>
      </c>
      <c r="D65" s="7">
        <v>567.0</v>
      </c>
      <c r="E65" s="7" t="str">
        <f>IF('MODELO 2'!$B65=E$89,1,0)</f>
        <v>0</v>
      </c>
      <c r="F65" s="7" t="str">
        <f>IF('MODELO 2'!$B65=F$89,1,0)</f>
        <v>0</v>
      </c>
      <c r="G65" s="7" t="str">
        <f>IF('MODELO 2'!$B65=G$89,1,0)</f>
        <v>0</v>
      </c>
      <c r="H65" s="7" t="str">
        <f>IF('MODELO 2'!$B65=H$89,1,0)</f>
        <v>1</v>
      </c>
      <c r="I65" s="7" t="str">
        <f>IF('MODELO 2'!$B65=I$89,1,0)</f>
        <v>0</v>
      </c>
      <c r="J65" s="7" t="str">
        <f>IF('MODELO 2'!$B65=J$89,1,0)</f>
        <v>0</v>
      </c>
      <c r="K65" s="7" t="str">
        <f>IF('MODELO 2'!$B65=K$89,1,0)</f>
        <v>0</v>
      </c>
      <c r="L65" s="7" t="str">
        <f>IF('MODELO 2'!$B65=L$89,1,0)</f>
        <v>0</v>
      </c>
      <c r="M65" s="7" t="str">
        <f>IF('MODELO 2'!$B65=M$89,1,0)</f>
        <v>0</v>
      </c>
      <c r="N65" s="7" t="str">
        <f>IF('MODELO 2'!$B65=N$89,1,0)</f>
        <v>0</v>
      </c>
      <c r="O65" s="7" t="str">
        <f>IF('MODELO 2'!$B65=O$89,1,0)</f>
        <v>0</v>
      </c>
      <c r="P65" s="7" t="str">
        <f>IF('MODELO 2'!$B65=P$89,1,0)</f>
        <v>0</v>
      </c>
      <c r="R65">
        <v>29.0</v>
      </c>
      <c r="S65">
        <v>572.1428571428571</v>
      </c>
      <c r="T65">
        <v>-160.1428571428571</v>
      </c>
      <c r="U65">
        <v>-1.7463812671673373</v>
      </c>
      <c r="W65">
        <v>32.75862068965517</v>
      </c>
      <c r="X65">
        <v>517.0</v>
      </c>
    </row>
    <row r="66" ht="22.5" customHeight="1">
      <c r="A66" s="7">
        <v>2024.0</v>
      </c>
      <c r="B66" s="7">
        <v>5.0</v>
      </c>
      <c r="C66" s="8" t="str">
        <f>DATE('MODELO 2'!$A66,'MODELO 2'!$B66,1)</f>
        <v>5/1/2024</v>
      </c>
      <c r="D66" s="7">
        <v>563.0</v>
      </c>
      <c r="E66" s="7" t="str">
        <f>IF('MODELO 2'!$B66=E$89,1,0)</f>
        <v>0</v>
      </c>
      <c r="F66" s="7" t="str">
        <f>IF('MODELO 2'!$B66=F$89,1,0)</f>
        <v>0</v>
      </c>
      <c r="G66" s="7" t="str">
        <f>IF('MODELO 2'!$B66=G$89,1,0)</f>
        <v>0</v>
      </c>
      <c r="H66" s="7" t="str">
        <f>IF('MODELO 2'!$B66=H$89,1,0)</f>
        <v>0</v>
      </c>
      <c r="I66" s="7" t="str">
        <f>IF('MODELO 2'!$B66=I$89,1,0)</f>
        <v>1</v>
      </c>
      <c r="J66" s="7" t="str">
        <f>IF('MODELO 2'!$B66=J$89,1,0)</f>
        <v>0</v>
      </c>
      <c r="K66" s="7" t="str">
        <f>IF('MODELO 2'!$B66=K$89,1,0)</f>
        <v>0</v>
      </c>
      <c r="L66" s="7" t="str">
        <f>IF('MODELO 2'!$B66=L$89,1,0)</f>
        <v>0</v>
      </c>
      <c r="M66" s="7" t="str">
        <f>IF('MODELO 2'!$B66=M$89,1,0)</f>
        <v>0</v>
      </c>
      <c r="N66" s="7" t="str">
        <f>IF('MODELO 2'!$B66=N$89,1,0)</f>
        <v>0</v>
      </c>
      <c r="O66" s="7" t="str">
        <f>IF('MODELO 2'!$B66=O$89,1,0)</f>
        <v>0</v>
      </c>
      <c r="P66" s="7" t="str">
        <f>IF('MODELO 2'!$B66=P$89,1,0)</f>
        <v>0</v>
      </c>
      <c r="R66">
        <v>30.0</v>
      </c>
      <c r="S66">
        <v>617.142857142857</v>
      </c>
      <c r="T66">
        <v>-68.142857142857</v>
      </c>
      <c r="U66">
        <v>-0.7431078184110779</v>
      </c>
      <c r="W66">
        <v>33.90804597701149</v>
      </c>
      <c r="X66">
        <v>522.0</v>
      </c>
    </row>
    <row r="67" ht="22.5" customHeight="1">
      <c r="A67" s="7">
        <v>2024.0</v>
      </c>
      <c r="B67" s="7">
        <v>6.0</v>
      </c>
      <c r="C67" s="8" t="str">
        <f>DATE('MODELO 2'!$A67,'MODELO 2'!$B67,1)</f>
        <v>6/1/2024</v>
      </c>
      <c r="D67" s="7">
        <v>573.0</v>
      </c>
      <c r="E67" s="7" t="str">
        <f>IF('MODELO 2'!$B67=E$89,1,0)</f>
        <v>0</v>
      </c>
      <c r="F67" s="7" t="str">
        <f>IF('MODELO 2'!$B67=F$89,1,0)</f>
        <v>0</v>
      </c>
      <c r="G67" s="7" t="str">
        <f>IF('MODELO 2'!$B67=G$89,1,0)</f>
        <v>0</v>
      </c>
      <c r="H67" s="7" t="str">
        <f>IF('MODELO 2'!$B67=H$89,1,0)</f>
        <v>0</v>
      </c>
      <c r="I67" s="7" t="str">
        <f>IF('MODELO 2'!$B67=I$89,1,0)</f>
        <v>0</v>
      </c>
      <c r="J67" s="7" t="str">
        <f>IF('MODELO 2'!$B67=J$89,1,0)</f>
        <v>1</v>
      </c>
      <c r="K67" s="7" t="str">
        <f>IF('MODELO 2'!$B67=K$89,1,0)</f>
        <v>0</v>
      </c>
      <c r="L67" s="7" t="str">
        <f>IF('MODELO 2'!$B67=L$89,1,0)</f>
        <v>0</v>
      </c>
      <c r="M67" s="7" t="str">
        <f>IF('MODELO 2'!$B67=M$89,1,0)</f>
        <v>0</v>
      </c>
      <c r="N67" s="7" t="str">
        <f>IF('MODELO 2'!$B67=N$89,1,0)</f>
        <v>0</v>
      </c>
      <c r="O67" s="7" t="str">
        <f>IF('MODELO 2'!$B67=O$89,1,0)</f>
        <v>0</v>
      </c>
      <c r="P67" s="7" t="str">
        <f>IF('MODELO 2'!$B67=P$89,1,0)</f>
        <v>0</v>
      </c>
      <c r="R67">
        <v>31.0</v>
      </c>
      <c r="S67">
        <v>622.4285714285713</v>
      </c>
      <c r="T67">
        <v>-95.42857142857133</v>
      </c>
      <c r="U67">
        <v>-1.040662521380714</v>
      </c>
      <c r="W67">
        <v>35.05747126436781</v>
      </c>
      <c r="X67">
        <v>526.0</v>
      </c>
    </row>
    <row r="68" ht="22.5" customHeight="1">
      <c r="A68" s="7">
        <v>2024.0</v>
      </c>
      <c r="B68" s="7">
        <v>7.0</v>
      </c>
      <c r="C68" s="8" t="str">
        <f>DATE('MODELO 2'!$A68,'MODELO 2'!$B68,1)</f>
        <v>7/1/2024</v>
      </c>
      <c r="D68" s="7">
        <v>600.0</v>
      </c>
      <c r="E68" s="7" t="str">
        <f>IF('MODELO 2'!$B68=E$89,1,0)</f>
        <v>0</v>
      </c>
      <c r="F68" s="7" t="str">
        <f>IF('MODELO 2'!$B68=F$89,1,0)</f>
        <v>0</v>
      </c>
      <c r="G68" s="7" t="str">
        <f>IF('MODELO 2'!$B68=G$89,1,0)</f>
        <v>0</v>
      </c>
      <c r="H68" s="7" t="str">
        <f>IF('MODELO 2'!$B68=H$89,1,0)</f>
        <v>0</v>
      </c>
      <c r="I68" s="7" t="str">
        <f>IF('MODELO 2'!$B68=I$89,1,0)</f>
        <v>0</v>
      </c>
      <c r="J68" s="7" t="str">
        <f>IF('MODELO 2'!$B68=J$89,1,0)</f>
        <v>0</v>
      </c>
      <c r="K68" s="7" t="str">
        <f>IF('MODELO 2'!$B68=K$89,1,0)</f>
        <v>1</v>
      </c>
      <c r="L68" s="7" t="str">
        <f>IF('MODELO 2'!$B68=L$89,1,0)</f>
        <v>0</v>
      </c>
      <c r="M68" s="7" t="str">
        <f>IF('MODELO 2'!$B68=M$89,1,0)</f>
        <v>0</v>
      </c>
      <c r="N68" s="7" t="str">
        <f>IF('MODELO 2'!$B68=N$89,1,0)</f>
        <v>0</v>
      </c>
      <c r="O68" s="7" t="str">
        <f>IF('MODELO 2'!$B68=O$89,1,0)</f>
        <v>0</v>
      </c>
      <c r="P68" s="7" t="str">
        <f>IF('MODELO 2'!$B68=P$89,1,0)</f>
        <v>0</v>
      </c>
      <c r="R68">
        <v>32.0</v>
      </c>
      <c r="S68">
        <v>621.0</v>
      </c>
      <c r="T68">
        <v>10.0</v>
      </c>
      <c r="U68">
        <v>0.10905146182133241</v>
      </c>
      <c r="W68">
        <v>36.206896551724135</v>
      </c>
      <c r="X68">
        <v>527.0</v>
      </c>
    </row>
    <row r="69" ht="22.5" customHeight="1">
      <c r="A69" s="7">
        <v>2024.0</v>
      </c>
      <c r="B69" s="7">
        <v>8.0</v>
      </c>
      <c r="C69" s="8" t="str">
        <f>DATE('MODELO 2'!$A69,'MODELO 2'!$B69,1)</f>
        <v>8/1/2024</v>
      </c>
      <c r="D69" s="7">
        <v>677.0</v>
      </c>
      <c r="E69" s="7" t="str">
        <f>IF('MODELO 2'!$B69=E$89,1,0)</f>
        <v>0</v>
      </c>
      <c r="F69" s="7" t="str">
        <f>IF('MODELO 2'!$B69=F$89,1,0)</f>
        <v>0</v>
      </c>
      <c r="G69" s="7" t="str">
        <f>IF('MODELO 2'!$B69=G$89,1,0)</f>
        <v>0</v>
      </c>
      <c r="H69" s="7" t="str">
        <f>IF('MODELO 2'!$B69=H$89,1,0)</f>
        <v>0</v>
      </c>
      <c r="I69" s="7" t="str">
        <f>IF('MODELO 2'!$B69=I$89,1,0)</f>
        <v>0</v>
      </c>
      <c r="J69" s="7" t="str">
        <f>IF('MODELO 2'!$B69=J$89,1,0)</f>
        <v>0</v>
      </c>
      <c r="K69" s="7" t="str">
        <f>IF('MODELO 2'!$B69=K$89,1,0)</f>
        <v>0</v>
      </c>
      <c r="L69" s="7" t="str">
        <f>IF('MODELO 2'!$B69=L$89,1,0)</f>
        <v>1</v>
      </c>
      <c r="M69" s="7" t="str">
        <f>IF('MODELO 2'!$B69=M$89,1,0)</f>
        <v>0</v>
      </c>
      <c r="N69" s="7" t="str">
        <f>IF('MODELO 2'!$B69=N$89,1,0)</f>
        <v>0</v>
      </c>
      <c r="O69" s="7" t="str">
        <f>IF('MODELO 2'!$B69=O$89,1,0)</f>
        <v>0</v>
      </c>
      <c r="P69" s="7" t="str">
        <f>IF('MODELO 2'!$B69=P$89,1,0)</f>
        <v>0</v>
      </c>
      <c r="R69">
        <v>33.0</v>
      </c>
      <c r="S69">
        <v>610.0</v>
      </c>
      <c r="T69">
        <v>-11.0</v>
      </c>
      <c r="U69">
        <v>-0.11995660800346565</v>
      </c>
      <c r="W69">
        <v>37.35632183908046</v>
      </c>
      <c r="X69">
        <v>539.0</v>
      </c>
    </row>
    <row r="70" ht="22.5" customHeight="1">
      <c r="A70" s="7">
        <v>2024.0</v>
      </c>
      <c r="B70" s="7">
        <v>9.0</v>
      </c>
      <c r="C70" s="8" t="str">
        <f>DATE('MODELO 2'!$A70,'MODELO 2'!$B70,1)</f>
        <v>9/1/2024</v>
      </c>
      <c r="D70" s="7">
        <v>590.0</v>
      </c>
      <c r="E70" s="7" t="str">
        <f>IF('MODELO 2'!$B70=E$89,1,0)</f>
        <v>0</v>
      </c>
      <c r="F70" s="7" t="str">
        <f>IF('MODELO 2'!$B70=F$89,1,0)</f>
        <v>0</v>
      </c>
      <c r="G70" s="7" t="str">
        <f>IF('MODELO 2'!$B70=G$89,1,0)</f>
        <v>0</v>
      </c>
      <c r="H70" s="7" t="str">
        <f>IF('MODELO 2'!$B70=H$89,1,0)</f>
        <v>0</v>
      </c>
      <c r="I70" s="7" t="str">
        <f>IF('MODELO 2'!$B70=I$89,1,0)</f>
        <v>0</v>
      </c>
      <c r="J70" s="7" t="str">
        <f>IF('MODELO 2'!$B70=J$89,1,0)</f>
        <v>0</v>
      </c>
      <c r="K70" s="7" t="str">
        <f>IF('MODELO 2'!$B70=K$89,1,0)</f>
        <v>0</v>
      </c>
      <c r="L70" s="7" t="str">
        <f>IF('MODELO 2'!$B70=L$89,1,0)</f>
        <v>0</v>
      </c>
      <c r="M70" s="7" t="str">
        <f>IF('MODELO 2'!$B70=M$89,1,0)</f>
        <v>1</v>
      </c>
      <c r="N70" s="7" t="str">
        <f>IF('MODELO 2'!$B70=N$89,1,0)</f>
        <v>0</v>
      </c>
      <c r="O70" s="7" t="str">
        <f>IF('MODELO 2'!$B70=O$89,1,0)</f>
        <v>0</v>
      </c>
      <c r="P70" s="7" t="str">
        <f>IF('MODELO 2'!$B70=P$89,1,0)</f>
        <v>0</v>
      </c>
      <c r="R70">
        <v>34.0</v>
      </c>
      <c r="S70">
        <v>572.2857142857143</v>
      </c>
      <c r="T70">
        <v>-15.285714285714334</v>
      </c>
      <c r="U70">
        <v>-0.1666929487840372</v>
      </c>
      <c r="W70">
        <v>38.50574712643678</v>
      </c>
      <c r="X70">
        <v>541.0</v>
      </c>
    </row>
    <row r="71" ht="22.5" customHeight="1">
      <c r="A71" s="7">
        <v>2024.0</v>
      </c>
      <c r="B71" s="7">
        <v>10.0</v>
      </c>
      <c r="C71" s="8" t="str">
        <f>DATE('MODELO 2'!$A71,'MODELO 2'!$B71,1)</f>
        <v>10/1/2024</v>
      </c>
      <c r="D71" s="7">
        <v>428.0</v>
      </c>
      <c r="E71" s="7" t="str">
        <f>IF('MODELO 2'!$B71=E$89,1,0)</f>
        <v>0</v>
      </c>
      <c r="F71" s="7" t="str">
        <f>IF('MODELO 2'!$B71=F$89,1,0)</f>
        <v>0</v>
      </c>
      <c r="G71" s="7" t="str">
        <f>IF('MODELO 2'!$B71=G$89,1,0)</f>
        <v>0</v>
      </c>
      <c r="H71" s="7" t="str">
        <f>IF('MODELO 2'!$B71=H$89,1,0)</f>
        <v>0</v>
      </c>
      <c r="I71" s="7" t="str">
        <f>IF('MODELO 2'!$B71=I$89,1,0)</f>
        <v>0</v>
      </c>
      <c r="J71" s="7" t="str">
        <f>IF('MODELO 2'!$B71=J$89,1,0)</f>
        <v>0</v>
      </c>
      <c r="K71" s="7" t="str">
        <f>IF('MODELO 2'!$B71=K$89,1,0)</f>
        <v>0</v>
      </c>
      <c r="L71" s="7" t="str">
        <f>IF('MODELO 2'!$B71=L$89,1,0)</f>
        <v>0</v>
      </c>
      <c r="M71" s="7" t="str">
        <f>IF('MODELO 2'!$B71=M$89,1,0)</f>
        <v>0</v>
      </c>
      <c r="N71" s="7" t="str">
        <f>IF('MODELO 2'!$B71=N$89,1,0)</f>
        <v>1</v>
      </c>
      <c r="O71" s="7" t="str">
        <f>IF('MODELO 2'!$B71=O$89,1,0)</f>
        <v>0</v>
      </c>
      <c r="P71" s="7" t="str">
        <f>IF('MODELO 2'!$B71=P$89,1,0)</f>
        <v>0</v>
      </c>
      <c r="R71">
        <v>35.0</v>
      </c>
      <c r="S71">
        <v>512.142857142857</v>
      </c>
      <c r="T71">
        <v>100.857142857143</v>
      </c>
      <c r="U71">
        <v>1.0998618863694398</v>
      </c>
      <c r="W71">
        <v>39.6551724137931</v>
      </c>
      <c r="X71">
        <v>543.0</v>
      </c>
    </row>
    <row r="72" ht="22.5" customHeight="1">
      <c r="A72" s="7">
        <v>2024.0</v>
      </c>
      <c r="B72" s="7">
        <v>11.0</v>
      </c>
      <c r="C72" s="8" t="str">
        <f>DATE('MODELO 2'!$A72,'MODELO 2'!$B72,1)</f>
        <v>11/1/2024</v>
      </c>
      <c r="D72" s="7">
        <v>368.0</v>
      </c>
      <c r="E72" s="7" t="str">
        <f>IF('MODELO 2'!$B72=E$89,1,0)</f>
        <v>0</v>
      </c>
      <c r="F72" s="7" t="str">
        <f>IF('MODELO 2'!$B72=F$89,1,0)</f>
        <v>0</v>
      </c>
      <c r="G72" s="7" t="str">
        <f>IF('MODELO 2'!$B72=G$89,1,0)</f>
        <v>0</v>
      </c>
      <c r="H72" s="7" t="str">
        <f>IF('MODELO 2'!$B72=H$89,1,0)</f>
        <v>0</v>
      </c>
      <c r="I72" s="7" t="str">
        <f>IF('MODELO 2'!$B72=I$89,1,0)</f>
        <v>0</v>
      </c>
      <c r="J72" s="7" t="str">
        <f>IF('MODELO 2'!$B72=J$89,1,0)</f>
        <v>0</v>
      </c>
      <c r="K72" s="7" t="str">
        <f>IF('MODELO 2'!$B72=K$89,1,0)</f>
        <v>0</v>
      </c>
      <c r="L72" s="7" t="str">
        <f>IF('MODELO 2'!$B72=L$89,1,0)</f>
        <v>0</v>
      </c>
      <c r="M72" s="7" t="str">
        <f>IF('MODELO 2'!$B72=M$89,1,0)</f>
        <v>0</v>
      </c>
      <c r="N72" s="7" t="str">
        <f>IF('MODELO 2'!$B72=N$89,1,0)</f>
        <v>0</v>
      </c>
      <c r="O72" s="7" t="str">
        <f>IF('MODELO 2'!$B72=O$89,1,0)</f>
        <v>1</v>
      </c>
      <c r="P72" s="7" t="str">
        <f>IF('MODELO 2'!$B72=P$89,1,0)</f>
        <v>0</v>
      </c>
      <c r="R72">
        <v>36.0</v>
      </c>
      <c r="S72">
        <v>574.9999999999998</v>
      </c>
      <c r="T72">
        <v>158.00000000000023</v>
      </c>
      <c r="U72">
        <v>1.7230130967770545</v>
      </c>
      <c r="W72">
        <v>40.804597701149426</v>
      </c>
      <c r="X72">
        <v>549.0</v>
      </c>
    </row>
    <row r="73" ht="22.5" customHeight="1">
      <c r="A73" s="7">
        <v>2024.0</v>
      </c>
      <c r="B73" s="7">
        <v>12.0</v>
      </c>
      <c r="C73" s="8" t="str">
        <f>DATE('MODELO 2'!$A73,'MODELO 2'!$B73,1)</f>
        <v>12/1/2024</v>
      </c>
      <c r="D73" s="7">
        <v>607.0</v>
      </c>
      <c r="E73" s="7" t="str">
        <f>IF('MODELO 2'!$B73=E$89,1,0)</f>
        <v>0</v>
      </c>
      <c r="F73" s="7" t="str">
        <f>IF('MODELO 2'!$B73=F$89,1,0)</f>
        <v>0</v>
      </c>
      <c r="G73" s="7" t="str">
        <f>IF('MODELO 2'!$B73=G$89,1,0)</f>
        <v>0</v>
      </c>
      <c r="H73" s="7" t="str">
        <f>IF('MODELO 2'!$B73=H$89,1,0)</f>
        <v>0</v>
      </c>
      <c r="I73" s="7" t="str">
        <f>IF('MODELO 2'!$B73=I$89,1,0)</f>
        <v>0</v>
      </c>
      <c r="J73" s="7" t="str">
        <f>IF('MODELO 2'!$B73=J$89,1,0)</f>
        <v>0</v>
      </c>
      <c r="K73" s="7" t="str">
        <f>IF('MODELO 2'!$B73=K$89,1,0)</f>
        <v>0</v>
      </c>
      <c r="L73" s="7" t="str">
        <f>IF('MODELO 2'!$B73=L$89,1,0)</f>
        <v>0</v>
      </c>
      <c r="M73" s="7" t="str">
        <f>IF('MODELO 2'!$B73=M$89,1,0)</f>
        <v>0</v>
      </c>
      <c r="N73" s="7" t="str">
        <f>IF('MODELO 2'!$B73=N$89,1,0)</f>
        <v>0</v>
      </c>
      <c r="O73" s="7" t="str">
        <f>IF('MODELO 2'!$B73=O$89,1,0)</f>
        <v>0</v>
      </c>
      <c r="P73" s="7" t="str">
        <f>IF('MODELO 2'!$B73=P$89,1,0)</f>
        <v>1</v>
      </c>
      <c r="R73">
        <v>37.0</v>
      </c>
      <c r="S73">
        <v>492.9999999999999</v>
      </c>
      <c r="T73">
        <v>-102.99999999999989</v>
      </c>
      <c r="U73">
        <v>-1.1232300567597227</v>
      </c>
      <c r="W73">
        <v>41.95402298850575</v>
      </c>
      <c r="X73">
        <v>550.0</v>
      </c>
    </row>
    <row r="74" ht="22.5" customHeight="1">
      <c r="A74" s="7">
        <v>2025.0</v>
      </c>
      <c r="B74" s="7">
        <v>1.0</v>
      </c>
      <c r="C74" s="8" t="str">
        <f>DATE('MODELO 2'!$A74,'MODELO 2'!$B74,1)</f>
        <v>1/1/2025</v>
      </c>
      <c r="D74" s="7">
        <v>583.0</v>
      </c>
      <c r="E74" s="7" t="str">
        <f>IF('MODELO 2'!$B74=E$89,1,0)</f>
        <v>1</v>
      </c>
      <c r="F74" s="7" t="str">
        <f>IF('MODELO 2'!$B74=F$89,1,0)</f>
        <v>0</v>
      </c>
      <c r="G74" s="7" t="str">
        <f>IF('MODELO 2'!$B74=G$89,1,0)</f>
        <v>0</v>
      </c>
      <c r="H74" s="7" t="str">
        <f>IF('MODELO 2'!$B74=H$89,1,0)</f>
        <v>0</v>
      </c>
      <c r="I74" s="7" t="str">
        <f>IF('MODELO 2'!$B74=I$89,1,0)</f>
        <v>0</v>
      </c>
      <c r="J74" s="7" t="str">
        <f>IF('MODELO 2'!$B74=J$89,1,0)</f>
        <v>0</v>
      </c>
      <c r="K74" s="7" t="str">
        <f>IF('MODELO 2'!$B74=K$89,1,0)</f>
        <v>0</v>
      </c>
      <c r="L74" s="7" t="str">
        <f>IF('MODELO 2'!$B74=L$89,1,0)</f>
        <v>0</v>
      </c>
      <c r="M74" s="7" t="str">
        <f>IF('MODELO 2'!$B74=M$89,1,0)</f>
        <v>0</v>
      </c>
      <c r="N74" s="7" t="str">
        <f>IF('MODELO 2'!$B74=N$89,1,0)</f>
        <v>0</v>
      </c>
      <c r="O74" s="7" t="str">
        <f>IF('MODELO 2'!$B74=O$89,1,0)</f>
        <v>0</v>
      </c>
      <c r="P74" s="7" t="str">
        <f>IF('MODELO 2'!$B74=P$89,1,0)</f>
        <v>0</v>
      </c>
      <c r="R74">
        <v>38.0</v>
      </c>
      <c r="S74">
        <v>479.5</v>
      </c>
      <c r="T74">
        <v>1.5</v>
      </c>
      <c r="U74">
        <v>0.016357719273199862</v>
      </c>
      <c r="W74">
        <v>43.103448275862064</v>
      </c>
      <c r="X74">
        <v>552.0</v>
      </c>
    </row>
    <row r="75" ht="22.5" customHeight="1">
      <c r="A75" s="7">
        <v>2025.0</v>
      </c>
      <c r="B75" s="7">
        <v>2.0</v>
      </c>
      <c r="C75" s="8" t="str">
        <f>DATE('MODELO 2'!$A75,'MODELO 2'!$B75,1)</f>
        <v>2/1/2025</v>
      </c>
      <c r="D75" s="7">
        <v>550.0</v>
      </c>
      <c r="E75" s="7" t="str">
        <f>IF('MODELO 2'!$B75=E$89,1,0)</f>
        <v>0</v>
      </c>
      <c r="F75" s="7" t="str">
        <f>IF('MODELO 2'!$B75=F$89,1,0)</f>
        <v>1</v>
      </c>
      <c r="G75" s="7" t="str">
        <f>IF('MODELO 2'!$B75=G$89,1,0)</f>
        <v>0</v>
      </c>
      <c r="H75" s="7" t="str">
        <f>IF('MODELO 2'!$B75=H$89,1,0)</f>
        <v>0</v>
      </c>
      <c r="I75" s="7" t="str">
        <f>IF('MODELO 2'!$B75=I$89,1,0)</f>
        <v>0</v>
      </c>
      <c r="J75" s="7" t="str">
        <f>IF('MODELO 2'!$B75=J$89,1,0)</f>
        <v>0</v>
      </c>
      <c r="K75" s="7" t="str">
        <f>IF('MODELO 2'!$B75=K$89,1,0)</f>
        <v>0</v>
      </c>
      <c r="L75" s="7" t="str">
        <f>IF('MODELO 2'!$B75=L$89,1,0)</f>
        <v>0</v>
      </c>
      <c r="M75" s="7" t="str">
        <f>IF('MODELO 2'!$B75=M$89,1,0)</f>
        <v>0</v>
      </c>
      <c r="N75" s="7" t="str">
        <f>IF('MODELO 2'!$B75=N$89,1,0)</f>
        <v>0</v>
      </c>
      <c r="O75" s="7" t="str">
        <f>IF('MODELO 2'!$B75=O$89,1,0)</f>
        <v>0</v>
      </c>
      <c r="P75" s="7" t="str">
        <f>IF('MODELO 2'!$B75=P$89,1,0)</f>
        <v>0</v>
      </c>
      <c r="R75">
        <v>39.0</v>
      </c>
      <c r="S75">
        <v>525.2499999999999</v>
      </c>
      <c r="T75">
        <v>26.750000000000114</v>
      </c>
      <c r="U75">
        <v>0.29171266037206545</v>
      </c>
      <c r="W75">
        <v>44.25287356321839</v>
      </c>
      <c r="X75">
        <v>557.0</v>
      </c>
    </row>
    <row r="76" ht="22.5" customHeight="1">
      <c r="A76" s="7">
        <v>2025.0</v>
      </c>
      <c r="B76" s="7">
        <v>3.0</v>
      </c>
      <c r="C76" s="8" t="str">
        <f>DATE('MODELO 2'!$A76,'MODELO 2'!$B76,1)</f>
        <v>3/1/2025</v>
      </c>
      <c r="D76" s="7">
        <v>580.0</v>
      </c>
      <c r="E76" s="7" t="str">
        <f>IF('MODELO 2'!$B76=E$89,1,0)</f>
        <v>0</v>
      </c>
      <c r="F76" s="7" t="str">
        <f>IF('MODELO 2'!$B76=F$89,1,0)</f>
        <v>0</v>
      </c>
      <c r="G76" s="7" t="str">
        <f>IF('MODELO 2'!$B76=G$89,1,0)</f>
        <v>1</v>
      </c>
      <c r="H76" s="7" t="str">
        <f>IF('MODELO 2'!$B76=H$89,1,0)</f>
        <v>0</v>
      </c>
      <c r="I76" s="7" t="str">
        <f>IF('MODELO 2'!$B76=I$89,1,0)</f>
        <v>0</v>
      </c>
      <c r="J76" s="7" t="str">
        <f>IF('MODELO 2'!$B76=J$89,1,0)</f>
        <v>0</v>
      </c>
      <c r="K76" s="7" t="str">
        <f>IF('MODELO 2'!$B76=K$89,1,0)</f>
        <v>0</v>
      </c>
      <c r="L76" s="7" t="str">
        <f>IF('MODELO 2'!$B76=L$89,1,0)</f>
        <v>0</v>
      </c>
      <c r="M76" s="7" t="str">
        <f>IF('MODELO 2'!$B76=M$89,1,0)</f>
        <v>0</v>
      </c>
      <c r="N76" s="7" t="str">
        <f>IF('MODELO 2'!$B76=N$89,1,0)</f>
        <v>0</v>
      </c>
      <c r="O76" s="7" t="str">
        <f>IF('MODELO 2'!$B76=O$89,1,0)</f>
        <v>0</v>
      </c>
      <c r="P76" s="7" t="str">
        <f>IF('MODELO 2'!$B76=P$89,1,0)</f>
        <v>0</v>
      </c>
      <c r="R76">
        <v>40.0</v>
      </c>
      <c r="S76">
        <v>513.7142857142858</v>
      </c>
      <c r="T76">
        <v>25.28571428571422</v>
      </c>
      <c r="U76">
        <v>0.27574441060536836</v>
      </c>
      <c r="W76">
        <v>45.40229885057471</v>
      </c>
      <c r="X76">
        <v>562.0</v>
      </c>
    </row>
    <row r="77" ht="22.5" customHeight="1">
      <c r="A77" s="7">
        <v>2025.0</v>
      </c>
      <c r="B77" s="7">
        <v>4.0</v>
      </c>
      <c r="C77" s="8" t="str">
        <f>DATE('MODELO 2'!$A77,'MODELO 2'!$B77,1)</f>
        <v>4/1/2025</v>
      </c>
      <c r="D77" s="7">
        <v>522.0</v>
      </c>
      <c r="E77" s="7" t="str">
        <f>IF('MODELO 2'!$B77=E$89,1,0)</f>
        <v>0</v>
      </c>
      <c r="F77" s="7" t="str">
        <f>IF('MODELO 2'!$B77=F$89,1,0)</f>
        <v>0</v>
      </c>
      <c r="G77" s="7" t="str">
        <f>IF('MODELO 2'!$B77=G$89,1,0)</f>
        <v>0</v>
      </c>
      <c r="H77" s="7" t="str">
        <f>IF('MODELO 2'!$B77=H$89,1,0)</f>
        <v>1</v>
      </c>
      <c r="I77" s="7" t="str">
        <f>IF('MODELO 2'!$B77=I$89,1,0)</f>
        <v>0</v>
      </c>
      <c r="J77" s="7" t="str">
        <f>IF('MODELO 2'!$B77=J$89,1,0)</f>
        <v>0</v>
      </c>
      <c r="K77" s="7" t="str">
        <f>IF('MODELO 2'!$B77=K$89,1,0)</f>
        <v>0</v>
      </c>
      <c r="L77" s="7" t="str">
        <f>IF('MODELO 2'!$B77=L$89,1,0)</f>
        <v>0</v>
      </c>
      <c r="M77" s="7" t="str">
        <f>IF('MODELO 2'!$B77=M$89,1,0)</f>
        <v>0</v>
      </c>
      <c r="N77" s="7" t="str">
        <f>IF('MODELO 2'!$B77=N$89,1,0)</f>
        <v>0</v>
      </c>
      <c r="O77" s="7" t="str">
        <f>IF('MODELO 2'!$B77=O$89,1,0)</f>
        <v>0</v>
      </c>
      <c r="P77" s="7" t="str">
        <f>IF('MODELO 2'!$B77=P$89,1,0)</f>
        <v>0</v>
      </c>
      <c r="R77">
        <v>41.0</v>
      </c>
      <c r="S77">
        <v>572.1428571428571</v>
      </c>
      <c r="T77">
        <v>1.8571428571428896</v>
      </c>
      <c r="U77">
        <v>0.0202524143382478</v>
      </c>
      <c r="W77">
        <v>46.55172413793103</v>
      </c>
      <c r="X77">
        <v>563.0</v>
      </c>
    </row>
    <row r="78" ht="22.5" customHeight="1">
      <c r="A78" s="7">
        <v>2025.0</v>
      </c>
      <c r="B78" s="7">
        <v>5.0</v>
      </c>
      <c r="C78" s="8" t="str">
        <f>DATE('MODELO 2'!$A78,'MODELO 2'!$B78,1)</f>
        <v>5/1/2025</v>
      </c>
      <c r="D78" s="7">
        <v>598.0</v>
      </c>
      <c r="E78" s="7" t="str">
        <f>IF('MODELO 2'!$B78=E$89,1,0)</f>
        <v>0</v>
      </c>
      <c r="F78" s="7" t="str">
        <f>IF('MODELO 2'!$B78=F$89,1,0)</f>
        <v>0</v>
      </c>
      <c r="G78" s="7" t="str">
        <f>IF('MODELO 2'!$B78=G$89,1,0)</f>
        <v>0</v>
      </c>
      <c r="H78" s="7" t="str">
        <f>IF('MODELO 2'!$B78=H$89,1,0)</f>
        <v>0</v>
      </c>
      <c r="I78" s="7" t="str">
        <f>IF('MODELO 2'!$B78=I$89,1,0)</f>
        <v>1</v>
      </c>
      <c r="J78" s="7" t="str">
        <f>IF('MODELO 2'!$B78=J$89,1,0)</f>
        <v>0</v>
      </c>
      <c r="K78" s="7" t="str">
        <f>IF('MODELO 2'!$B78=K$89,1,0)</f>
        <v>0</v>
      </c>
      <c r="L78" s="7" t="str">
        <f>IF('MODELO 2'!$B78=L$89,1,0)</f>
        <v>0</v>
      </c>
      <c r="M78" s="7" t="str">
        <f>IF('MODELO 2'!$B78=M$89,1,0)</f>
        <v>0</v>
      </c>
      <c r="N78" s="7" t="str">
        <f>IF('MODELO 2'!$B78=N$89,1,0)</f>
        <v>0</v>
      </c>
      <c r="O78" s="7" t="str">
        <f>IF('MODELO 2'!$B78=O$89,1,0)</f>
        <v>0</v>
      </c>
      <c r="P78" s="7" t="str">
        <f>IF('MODELO 2'!$B78=P$89,1,0)</f>
        <v>0</v>
      </c>
      <c r="R78">
        <v>42.0</v>
      </c>
      <c r="S78">
        <v>617.142857142857</v>
      </c>
      <c r="T78">
        <v>140.857142857143</v>
      </c>
      <c r="U78">
        <v>1.5360677336547695</v>
      </c>
      <c r="W78">
        <v>47.701149425287355</v>
      </c>
      <c r="X78">
        <v>563.0</v>
      </c>
    </row>
    <row r="79" ht="22.5" customHeight="1">
      <c r="A79" s="7">
        <v>2025.0</v>
      </c>
      <c r="B79" s="7">
        <v>6.0</v>
      </c>
      <c r="C79" s="8" t="str">
        <f>DATE('MODELO 2'!$A79,'MODELO 2'!$B79,1)</f>
        <v>6/1/2025</v>
      </c>
      <c r="D79" s="7">
        <v>594.0</v>
      </c>
      <c r="E79" s="7" t="str">
        <f>IF('MODELO 2'!$B79=E$89,1,0)</f>
        <v>0</v>
      </c>
      <c r="F79" s="7" t="str">
        <f>IF('MODELO 2'!$B79=F$89,1,0)</f>
        <v>0</v>
      </c>
      <c r="G79" s="7" t="str">
        <f>IF('MODELO 2'!$B79=G$89,1,0)</f>
        <v>0</v>
      </c>
      <c r="H79" s="7" t="str">
        <f>IF('MODELO 2'!$B79=H$89,1,0)</f>
        <v>0</v>
      </c>
      <c r="I79" s="7" t="str">
        <f>IF('MODELO 2'!$B79=I$89,1,0)</f>
        <v>0</v>
      </c>
      <c r="J79" s="7" t="str">
        <f>IF('MODELO 2'!$B79=J$89,1,0)</f>
        <v>1</v>
      </c>
      <c r="K79" s="7" t="str">
        <f>IF('MODELO 2'!$B79=K$89,1,0)</f>
        <v>0</v>
      </c>
      <c r="L79" s="7" t="str">
        <f>IF('MODELO 2'!$B79=L$89,1,0)</f>
        <v>0</v>
      </c>
      <c r="M79" s="7" t="str">
        <f>IF('MODELO 2'!$B79=M$89,1,0)</f>
        <v>0</v>
      </c>
      <c r="N79" s="7" t="str">
        <f>IF('MODELO 2'!$B79=N$89,1,0)</f>
        <v>0</v>
      </c>
      <c r="O79" s="7" t="str">
        <f>IF('MODELO 2'!$B79=O$89,1,0)</f>
        <v>0</v>
      </c>
      <c r="P79" s="7" t="str">
        <f>IF('MODELO 2'!$B79=P$89,1,0)</f>
        <v>0</v>
      </c>
      <c r="R79">
        <v>43.0</v>
      </c>
      <c r="S79">
        <v>622.4285714285713</v>
      </c>
      <c r="T79">
        <v>-27.42857142857133</v>
      </c>
      <c r="U79">
        <v>-0.2991125809956535</v>
      </c>
      <c r="W79">
        <v>48.85057471264368</v>
      </c>
      <c r="X79">
        <v>567.0</v>
      </c>
    </row>
    <row r="80" ht="22.5" customHeight="1">
      <c r="A80" s="7">
        <v>2025.0</v>
      </c>
      <c r="B80" s="7">
        <v>7.0</v>
      </c>
      <c r="C80" s="8" t="str">
        <f>DATE('MODELO 2'!$A80,'MODELO 2'!$B80,1)</f>
        <v>7/1/2025</v>
      </c>
      <c r="D80" s="7">
        <v>698.0</v>
      </c>
      <c r="E80" s="7" t="str">
        <f>IF('MODELO 2'!$B80=E$89,1,0)</f>
        <v>0</v>
      </c>
      <c r="F80" s="7" t="str">
        <f>IF('MODELO 2'!$B80=F$89,1,0)</f>
        <v>0</v>
      </c>
      <c r="G80" s="7" t="str">
        <f>IF('MODELO 2'!$B80=G$89,1,0)</f>
        <v>0</v>
      </c>
      <c r="H80" s="7" t="str">
        <f>IF('MODELO 2'!$B80=H$89,1,0)</f>
        <v>0</v>
      </c>
      <c r="I80" s="7" t="str">
        <f>IF('MODELO 2'!$B80=I$89,1,0)</f>
        <v>0</v>
      </c>
      <c r="J80" s="7" t="str">
        <f>IF('MODELO 2'!$B80=J$89,1,0)</f>
        <v>0</v>
      </c>
      <c r="K80" s="7" t="str">
        <f>IF('MODELO 2'!$B80=K$89,1,0)</f>
        <v>1</v>
      </c>
      <c r="L80" s="7" t="str">
        <f>IF('MODELO 2'!$B80=L$89,1,0)</f>
        <v>0</v>
      </c>
      <c r="M80" s="7" t="str">
        <f>IF('MODELO 2'!$B80=M$89,1,0)</f>
        <v>0</v>
      </c>
      <c r="N80" s="7" t="str">
        <f>IF('MODELO 2'!$B80=N$89,1,0)</f>
        <v>0</v>
      </c>
      <c r="O80" s="7" t="str">
        <f>IF('MODELO 2'!$B80=O$89,1,0)</f>
        <v>0</v>
      </c>
      <c r="P80" s="7" t="str">
        <f>IF('MODELO 2'!$B80=P$89,1,0)</f>
        <v>0</v>
      </c>
      <c r="R80">
        <v>44.0</v>
      </c>
      <c r="S80">
        <v>621.0</v>
      </c>
      <c r="T80">
        <v>-59.0</v>
      </c>
      <c r="U80">
        <v>-0.6434036247458612</v>
      </c>
      <c r="W80">
        <v>50.0</v>
      </c>
      <c r="X80">
        <v>573.0</v>
      </c>
    </row>
    <row r="81" ht="22.5" customHeight="1">
      <c r="A81" s="7">
        <v>2025.0</v>
      </c>
      <c r="B81" s="7">
        <v>8.0</v>
      </c>
      <c r="C81" s="8" t="str">
        <f>DATE('MODELO 2'!$A81,'MODELO 2'!$B81,1)</f>
        <v>8/1/2025</v>
      </c>
      <c r="D81" s="7">
        <v>645.0</v>
      </c>
      <c r="E81" s="7" t="str">
        <f>IF('MODELO 2'!$B81=E$89,1,0)</f>
        <v>0</v>
      </c>
      <c r="F81" s="7" t="str">
        <f>IF('MODELO 2'!$B81=F$89,1,0)</f>
        <v>0</v>
      </c>
      <c r="G81" s="7" t="str">
        <f>IF('MODELO 2'!$B81=G$89,1,0)</f>
        <v>0</v>
      </c>
      <c r="H81" s="7" t="str">
        <f>IF('MODELO 2'!$B81=H$89,1,0)</f>
        <v>0</v>
      </c>
      <c r="I81" s="7" t="str">
        <f>IF('MODELO 2'!$B81=I$89,1,0)</f>
        <v>0</v>
      </c>
      <c r="J81" s="7" t="str">
        <f>IF('MODELO 2'!$B81=J$89,1,0)</f>
        <v>0</v>
      </c>
      <c r="K81" s="7" t="str">
        <f>IF('MODELO 2'!$B81=K$89,1,0)</f>
        <v>0</v>
      </c>
      <c r="L81" s="7" t="str">
        <f>IF('MODELO 2'!$B81=L$89,1,0)</f>
        <v>1</v>
      </c>
      <c r="M81" s="7" t="str">
        <f>IF('MODELO 2'!$B81=M$89,1,0)</f>
        <v>0</v>
      </c>
      <c r="N81" s="7" t="str">
        <f>IF('MODELO 2'!$B81=N$89,1,0)</f>
        <v>0</v>
      </c>
      <c r="O81" s="7" t="str">
        <f>IF('MODELO 2'!$B81=O$89,1,0)</f>
        <v>0</v>
      </c>
      <c r="P81" s="7" t="str">
        <f>IF('MODELO 2'!$B81=P$89,1,0)</f>
        <v>0</v>
      </c>
      <c r="R81">
        <v>45.0</v>
      </c>
      <c r="S81">
        <v>610.0</v>
      </c>
      <c r="T81">
        <v>27.0</v>
      </c>
      <c r="U81">
        <v>0.2944389469175975</v>
      </c>
      <c r="W81">
        <v>51.149425287356316</v>
      </c>
      <c r="X81">
        <v>574.0</v>
      </c>
    </row>
    <row r="82" ht="22.5" customHeight="1">
      <c r="A82" s="7">
        <v>2025.0</v>
      </c>
      <c r="B82" s="7">
        <v>9.0</v>
      </c>
      <c r="C82" s="8" t="str">
        <f>DATE('MODELO 2'!$A82,'MODELO 2'!$B82,1)</f>
        <v>9/1/2025</v>
      </c>
      <c r="D82" s="7">
        <v>741.0</v>
      </c>
      <c r="E82" s="7" t="str">
        <f>IF('MODELO 2'!$B82=E$89,1,0)</f>
        <v>0</v>
      </c>
      <c r="F82" s="7" t="str">
        <f>IF('MODELO 2'!$B82=F$89,1,0)</f>
        <v>0</v>
      </c>
      <c r="G82" s="7" t="str">
        <f>IF('MODELO 2'!$B82=G$89,1,0)</f>
        <v>0</v>
      </c>
      <c r="H82" s="7" t="str">
        <f>IF('MODELO 2'!$B82=H$89,1,0)</f>
        <v>0</v>
      </c>
      <c r="I82" s="7" t="str">
        <f>IF('MODELO 2'!$B82=I$89,1,0)</f>
        <v>0</v>
      </c>
      <c r="J82" s="7" t="str">
        <f>IF('MODELO 2'!$B82=J$89,1,0)</f>
        <v>0</v>
      </c>
      <c r="K82" s="7" t="str">
        <f>IF('MODELO 2'!$B82=K$89,1,0)</f>
        <v>0</v>
      </c>
      <c r="L82" s="7" t="str">
        <f>IF('MODELO 2'!$B82=L$89,1,0)</f>
        <v>0</v>
      </c>
      <c r="M82" s="7" t="str">
        <f>IF('MODELO 2'!$B82=M$89,1,0)</f>
        <v>1</v>
      </c>
      <c r="N82" s="7" t="str">
        <f>IF('MODELO 2'!$B82=N$89,1,0)</f>
        <v>0</v>
      </c>
      <c r="O82" s="7" t="str">
        <f>IF('MODELO 2'!$B82=O$89,1,0)</f>
        <v>0</v>
      </c>
      <c r="P82" s="7" t="str">
        <f>IF('MODELO 2'!$B82=P$89,1,0)</f>
        <v>0</v>
      </c>
      <c r="R82">
        <v>46.0</v>
      </c>
      <c r="S82">
        <v>572.2857142857143</v>
      </c>
      <c r="T82">
        <v>29.714285714285666</v>
      </c>
      <c r="U82">
        <v>0.3240386294119586</v>
      </c>
      <c r="W82">
        <v>52.29885057471264</v>
      </c>
      <c r="X82">
        <v>579.0</v>
      </c>
    </row>
    <row r="83" ht="22.5" customHeight="1">
      <c r="A83" s="7">
        <v>2025.0</v>
      </c>
      <c r="B83" s="7">
        <v>10.0</v>
      </c>
      <c r="C83" s="8" t="str">
        <f>DATE('MODELO 2'!$A83,'MODELO 2'!$B83,1)</f>
        <v>10/1/2025</v>
      </c>
      <c r="D83" s="7">
        <v>626.0</v>
      </c>
      <c r="E83" s="7" t="str">
        <f>IF('MODELO 2'!$B83=E$89,1,0)</f>
        <v>0</v>
      </c>
      <c r="F83" s="7" t="str">
        <f>IF('MODELO 2'!$B83=F$89,1,0)</f>
        <v>0</v>
      </c>
      <c r="G83" s="7" t="str">
        <f>IF('MODELO 2'!$B83=G$89,1,0)</f>
        <v>0</v>
      </c>
      <c r="H83" s="7" t="str">
        <f>IF('MODELO 2'!$B83=H$89,1,0)</f>
        <v>0</v>
      </c>
      <c r="I83" s="7" t="str">
        <f>IF('MODELO 2'!$B83=I$89,1,0)</f>
        <v>0</v>
      </c>
      <c r="J83" s="7" t="str">
        <f>IF('MODELO 2'!$B83=J$89,1,0)</f>
        <v>0</v>
      </c>
      <c r="K83" s="7" t="str">
        <f>IF('MODELO 2'!$B83=K$89,1,0)</f>
        <v>0</v>
      </c>
      <c r="L83" s="7" t="str">
        <f>IF('MODELO 2'!$B83=L$89,1,0)</f>
        <v>0</v>
      </c>
      <c r="M83" s="7" t="str">
        <f>IF('MODELO 2'!$B83=M$89,1,0)</f>
        <v>0</v>
      </c>
      <c r="N83" s="7" t="str">
        <f>IF('MODELO 2'!$B83=N$89,1,0)</f>
        <v>1</v>
      </c>
      <c r="O83" s="7" t="str">
        <f>IF('MODELO 2'!$B83=O$89,1,0)</f>
        <v>0</v>
      </c>
      <c r="P83" s="7" t="str">
        <f>IF('MODELO 2'!$B83=P$89,1,0)</f>
        <v>0</v>
      </c>
      <c r="R83">
        <v>47.0</v>
      </c>
      <c r="S83">
        <v>512.142857142857</v>
      </c>
      <c r="T83">
        <v>-82.142857142857</v>
      </c>
      <c r="U83">
        <v>-0.8957798649609432</v>
      </c>
      <c r="W83">
        <v>53.44827586206896</v>
      </c>
      <c r="X83">
        <v>580.0</v>
      </c>
    </row>
    <row r="84" ht="22.5" customHeight="1">
      <c r="A84" s="7">
        <v>2025.0</v>
      </c>
      <c r="B84" s="7">
        <v>11.0</v>
      </c>
      <c r="C84" s="8" t="str">
        <f>DATE('MODELO 2'!$A84,'MODELO 2'!$B84,1)</f>
        <v>11/1/2025</v>
      </c>
      <c r="D84" s="7">
        <v>501.0</v>
      </c>
      <c r="E84" s="7" t="str">
        <f>IF('MODELO 2'!$B84=E$89,1,0)</f>
        <v>0</v>
      </c>
      <c r="F84" s="7" t="str">
        <f>IF('MODELO 2'!$B84=F$89,1,0)</f>
        <v>0</v>
      </c>
      <c r="G84" s="7" t="str">
        <f>IF('MODELO 2'!$B84=G$89,1,0)</f>
        <v>0</v>
      </c>
      <c r="H84" s="7" t="str">
        <f>IF('MODELO 2'!$B84=H$89,1,0)</f>
        <v>0</v>
      </c>
      <c r="I84" s="7" t="str">
        <f>IF('MODELO 2'!$B84=I$89,1,0)</f>
        <v>0</v>
      </c>
      <c r="J84" s="7" t="str">
        <f>IF('MODELO 2'!$B84=J$89,1,0)</f>
        <v>0</v>
      </c>
      <c r="K84" s="7" t="str">
        <f>IF('MODELO 2'!$B84=K$89,1,0)</f>
        <v>0</v>
      </c>
      <c r="L84" s="7" t="str">
        <f>IF('MODELO 2'!$B84=L$89,1,0)</f>
        <v>0</v>
      </c>
      <c r="M84" s="7" t="str">
        <f>IF('MODELO 2'!$B84=M$89,1,0)</f>
        <v>0</v>
      </c>
      <c r="N84" s="7" t="str">
        <f>IF('MODELO 2'!$B84=N$89,1,0)</f>
        <v>0</v>
      </c>
      <c r="O84" s="7" t="str">
        <f>IF('MODELO 2'!$B84=O$89,1,0)</f>
        <v>1</v>
      </c>
      <c r="P84" s="7" t="str">
        <f>IF('MODELO 2'!$B84=P$89,1,0)</f>
        <v>0</v>
      </c>
      <c r="R84">
        <v>48.0</v>
      </c>
      <c r="S84">
        <v>574.9999999999998</v>
      </c>
      <c r="T84">
        <v>-33.99999999999977</v>
      </c>
      <c r="U84">
        <v>-0.3707749701925277</v>
      </c>
      <c r="W84">
        <v>54.59770114942528</v>
      </c>
      <c r="X84">
        <v>582.0</v>
      </c>
    </row>
    <row r="85" ht="22.5" customHeight="1">
      <c r="A85" s="7">
        <v>2025.0</v>
      </c>
      <c r="B85" s="7">
        <v>12.0</v>
      </c>
      <c r="C85" s="8" t="str">
        <f>DATE('MODELO 2'!$A85,'MODELO 2'!$B85,1)</f>
        <v>12/1/2025</v>
      </c>
      <c r="D85" s="7">
        <v>411.0</v>
      </c>
      <c r="E85" s="7" t="str">
        <f>IF('MODELO 2'!$B85=E$89,1,0)</f>
        <v>0</v>
      </c>
      <c r="F85" s="7" t="str">
        <f>IF('MODELO 2'!$B85=F$89,1,0)</f>
        <v>0</v>
      </c>
      <c r="G85" s="7" t="str">
        <f>IF('MODELO 2'!$B85=G$89,1,0)</f>
        <v>0</v>
      </c>
      <c r="H85" s="7" t="str">
        <f>IF('MODELO 2'!$B85=H$89,1,0)</f>
        <v>0</v>
      </c>
      <c r="I85" s="7" t="str">
        <f>IF('MODELO 2'!$B85=I$89,1,0)</f>
        <v>0</v>
      </c>
      <c r="J85" s="7" t="str">
        <f>IF('MODELO 2'!$B85=J$89,1,0)</f>
        <v>0</v>
      </c>
      <c r="K85" s="7" t="str">
        <f>IF('MODELO 2'!$B85=K$89,1,0)</f>
        <v>0</v>
      </c>
      <c r="L85" s="7" t="str">
        <f>IF('MODELO 2'!$B85=L$89,1,0)</f>
        <v>0</v>
      </c>
      <c r="M85" s="7" t="str">
        <f>IF('MODELO 2'!$B85=M$89,1,0)</f>
        <v>0</v>
      </c>
      <c r="N85" s="7" t="str">
        <f>IF('MODELO 2'!$B85=N$89,1,0)</f>
        <v>0</v>
      </c>
      <c r="O85" s="7" t="str">
        <f>IF('MODELO 2'!$B85=O$89,1,0)</f>
        <v>0</v>
      </c>
      <c r="P85" s="7" t="str">
        <f>IF('MODELO 2'!$B85=P$89,1,0)</f>
        <v>1</v>
      </c>
      <c r="R85">
        <v>49.0</v>
      </c>
      <c r="S85">
        <v>492.9999999999999</v>
      </c>
      <c r="T85">
        <v>3.0000000000001137</v>
      </c>
      <c r="U85">
        <v>0.032715438546400966</v>
      </c>
      <c r="W85">
        <v>55.747126436781606</v>
      </c>
      <c r="X85">
        <v>583.0</v>
      </c>
    </row>
    <row r="86" ht="22.5" customHeight="1">
      <c r="A86" s="7">
        <v>2026.0</v>
      </c>
      <c r="B86" s="7">
        <v>1.0</v>
      </c>
      <c r="C86" s="8" t="str">
        <f>DATE('MODELO 2'!$A86,'MODELO 2'!$B86,1)</f>
        <v>1/1/2026</v>
      </c>
      <c r="D86" s="7">
        <v>386.0</v>
      </c>
      <c r="E86" s="7" t="str">
        <f>IF('MODELO 2'!$B86=E$89,1,0)</f>
        <v>1</v>
      </c>
      <c r="F86" s="7" t="str">
        <f>IF('MODELO 2'!$B86=F$89,1,0)</f>
        <v>0</v>
      </c>
      <c r="G86" s="7" t="str">
        <f>IF('MODELO 2'!$B86=G$89,1,0)</f>
        <v>0</v>
      </c>
      <c r="H86" s="7" t="str">
        <f>IF('MODELO 2'!$B86=H$89,1,0)</f>
        <v>0</v>
      </c>
      <c r="I86" s="7" t="str">
        <f>IF('MODELO 2'!$B86=I$89,1,0)</f>
        <v>0</v>
      </c>
      <c r="J86" s="7" t="str">
        <f>IF('MODELO 2'!$B86=J$89,1,0)</f>
        <v>0</v>
      </c>
      <c r="K86" s="7" t="str">
        <f>IF('MODELO 2'!$B86=K$89,1,0)</f>
        <v>0</v>
      </c>
      <c r="L86" s="7" t="str">
        <f>IF('MODELO 2'!$B86=L$89,1,0)</f>
        <v>0</v>
      </c>
      <c r="M86" s="7" t="str">
        <f>IF('MODELO 2'!$B86=M$89,1,0)</f>
        <v>0</v>
      </c>
      <c r="N86" s="7" t="str">
        <f>IF('MODELO 2'!$B86=N$89,1,0)</f>
        <v>0</v>
      </c>
      <c r="O86" s="7" t="str">
        <f>IF('MODELO 2'!$B86=O$89,1,0)</f>
        <v>0</v>
      </c>
      <c r="P86" s="7" t="str">
        <f>IF('MODELO 2'!$B86=P$89,1,0)</f>
        <v>0</v>
      </c>
      <c r="R86">
        <v>50.0</v>
      </c>
      <c r="S86">
        <v>479.5</v>
      </c>
      <c r="T86">
        <v>-32.5</v>
      </c>
      <c r="U86">
        <v>-0.35441725091933035</v>
      </c>
      <c r="W86">
        <v>56.89655172413793</v>
      </c>
      <c r="X86">
        <v>589.0</v>
      </c>
    </row>
    <row r="87" ht="22.5" customHeight="1">
      <c r="A87" s="7">
        <v>2026.0</v>
      </c>
      <c r="B87" s="7">
        <v>2.0</v>
      </c>
      <c r="C87" s="8" t="str">
        <f>DATE('MODELO 2'!$A87,'MODELO 2'!$B87,1)</f>
        <v>2/1/2026</v>
      </c>
      <c r="D87" s="7">
        <v>406.0</v>
      </c>
      <c r="E87" s="7" t="str">
        <f>IF('MODELO 2'!$B87=E$89,1,0)</f>
        <v>0</v>
      </c>
      <c r="F87" s="7" t="str">
        <f>IF('MODELO 2'!$B87=F$89,1,0)</f>
        <v>1</v>
      </c>
      <c r="G87" s="7" t="str">
        <f>IF('MODELO 2'!$B87=G$89,1,0)</f>
        <v>0</v>
      </c>
      <c r="H87" s="7" t="str">
        <f>IF('MODELO 2'!$B87=H$89,1,0)</f>
        <v>0</v>
      </c>
      <c r="I87" s="7" t="str">
        <f>IF('MODELO 2'!$B87=I$89,1,0)</f>
        <v>0</v>
      </c>
      <c r="J87" s="7" t="str">
        <f>IF('MODELO 2'!$B87=J$89,1,0)</f>
        <v>0</v>
      </c>
      <c r="K87" s="7" t="str">
        <f>IF('MODELO 2'!$B87=K$89,1,0)</f>
        <v>0</v>
      </c>
      <c r="L87" s="7" t="str">
        <f>IF('MODELO 2'!$B87=L$89,1,0)</f>
        <v>0</v>
      </c>
      <c r="M87" s="7" t="str">
        <f>IF('MODELO 2'!$B87=M$89,1,0)</f>
        <v>0</v>
      </c>
      <c r="N87" s="7" t="str">
        <f>IF('MODELO 2'!$B87=N$89,1,0)</f>
        <v>0</v>
      </c>
      <c r="O87" s="7" t="str">
        <f>IF('MODELO 2'!$B87=O$89,1,0)</f>
        <v>0</v>
      </c>
      <c r="P87" s="7" t="str">
        <f>IF('MODELO 2'!$B87=P$89,1,0)</f>
        <v>0</v>
      </c>
      <c r="R87">
        <v>51.0</v>
      </c>
      <c r="S87">
        <v>525.2499999999999</v>
      </c>
      <c r="T87">
        <v>-98.24999999999989</v>
      </c>
      <c r="U87">
        <v>-1.0714306123945896</v>
      </c>
      <c r="W87">
        <v>58.04597701149425</v>
      </c>
      <c r="X87">
        <v>589.0</v>
      </c>
    </row>
    <row r="88" ht="22.5" customHeight="1">
      <c r="A88" s="7">
        <v>2026.0</v>
      </c>
      <c r="B88" s="7">
        <v>3.0</v>
      </c>
      <c r="C88" s="8" t="str">
        <f>DATE('MODELO 2'!$A88,'MODELO 2'!$B88,1)</f>
        <v>3/1/2026</v>
      </c>
      <c r="D88" s="7">
        <v>589.0</v>
      </c>
      <c r="E88" s="7" t="str">
        <f>IF('MODELO 2'!$B88=E$89,1,0)</f>
        <v>0</v>
      </c>
      <c r="F88" s="7" t="str">
        <f>IF('MODELO 2'!$B88=F$89,1,0)</f>
        <v>0</v>
      </c>
      <c r="G88" s="7" t="str">
        <f>IF('MODELO 2'!$B88=G$89,1,0)</f>
        <v>1</v>
      </c>
      <c r="H88" s="7" t="str">
        <f>IF('MODELO 2'!$B88=H$89,1,0)</f>
        <v>0</v>
      </c>
      <c r="I88" s="7" t="str">
        <f>IF('MODELO 2'!$B88=I$89,1,0)</f>
        <v>0</v>
      </c>
      <c r="J88" s="7" t="str">
        <f>IF('MODELO 2'!$B88=J$89,1,0)</f>
        <v>0</v>
      </c>
      <c r="K88" s="7" t="str">
        <f>IF('MODELO 2'!$B88=K$89,1,0)</f>
        <v>0</v>
      </c>
      <c r="L88" s="7" t="str">
        <f>IF('MODELO 2'!$B88=L$89,1,0)</f>
        <v>0</v>
      </c>
      <c r="M88" s="7" t="str">
        <f>IF('MODELO 2'!$B88=M$89,1,0)</f>
        <v>0</v>
      </c>
      <c r="N88" s="7" t="str">
        <f>IF('MODELO 2'!$B88=N$89,1,0)</f>
        <v>0</v>
      </c>
      <c r="O88" s="7" t="str">
        <f>IF('MODELO 2'!$B88=O$89,1,0)</f>
        <v>0</v>
      </c>
      <c r="P88" s="7" t="str">
        <f>IF('MODELO 2'!$B88=P$89,1,0)</f>
        <v>0</v>
      </c>
      <c r="R88">
        <v>52.0</v>
      </c>
      <c r="S88">
        <v>513.7142857142858</v>
      </c>
      <c r="T88">
        <v>68.28571428571422</v>
      </c>
      <c r="U88">
        <v>0.7446656964370978</v>
      </c>
      <c r="W88">
        <v>59.195402298850574</v>
      </c>
      <c r="X88">
        <v>590.0</v>
      </c>
    </row>
    <row r="89" ht="15.75" customHeight="1">
      <c r="E89">
        <v>1.0</v>
      </c>
      <c r="F89">
        <v>2.0</v>
      </c>
      <c r="G89">
        <v>3.0</v>
      </c>
      <c r="H89">
        <v>4.0</v>
      </c>
      <c r="I89">
        <v>5.0</v>
      </c>
      <c r="J89">
        <v>6.0</v>
      </c>
      <c r="K89">
        <v>7.0</v>
      </c>
      <c r="L89">
        <v>8.0</v>
      </c>
      <c r="M89">
        <v>9.0</v>
      </c>
      <c r="N89">
        <v>10.0</v>
      </c>
      <c r="O89">
        <v>11.0</v>
      </c>
      <c r="P89">
        <v>12.0</v>
      </c>
      <c r="R89">
        <v>53.0</v>
      </c>
      <c r="S89">
        <v>572.1428571428571</v>
      </c>
      <c r="T89">
        <v>167.8571428571429</v>
      </c>
      <c r="U89">
        <v>1.8305066805723658</v>
      </c>
      <c r="W89">
        <v>60.3448275862069</v>
      </c>
      <c r="X89">
        <v>594.0</v>
      </c>
    </row>
    <row r="90" ht="15.75" customHeight="1">
      <c r="R90">
        <v>54.0</v>
      </c>
      <c r="S90">
        <v>617.142857142857</v>
      </c>
      <c r="T90">
        <v>106.857142857143</v>
      </c>
      <c r="U90">
        <v>1.1652927634622394</v>
      </c>
      <c r="W90">
        <v>61.49425287356321</v>
      </c>
      <c r="X90">
        <v>595.0</v>
      </c>
    </row>
    <row r="91" ht="15.75" customHeight="1">
      <c r="R91">
        <v>55.0</v>
      </c>
      <c r="S91">
        <v>622.4285714285713</v>
      </c>
      <c r="T91">
        <v>34.57142857142867</v>
      </c>
      <c r="U91">
        <v>0.3770064822966074</v>
      </c>
      <c r="W91">
        <v>62.643678160919535</v>
      </c>
      <c r="X91">
        <v>597.0</v>
      </c>
    </row>
    <row r="92" ht="15.75" customHeight="1">
      <c r="R92">
        <v>56.0</v>
      </c>
      <c r="S92">
        <v>621.0</v>
      </c>
      <c r="T92">
        <v>4.0</v>
      </c>
      <c r="U92">
        <v>0.04362058472853296</v>
      </c>
      <c r="W92">
        <v>63.79310344827586</v>
      </c>
      <c r="X92">
        <v>598.0</v>
      </c>
    </row>
    <row r="93" ht="15.75" customHeight="1">
      <c r="R93">
        <v>57.0</v>
      </c>
      <c r="S93">
        <v>610.0</v>
      </c>
      <c r="T93">
        <v>75.0</v>
      </c>
      <c r="U93">
        <v>0.8178859636599931</v>
      </c>
      <c r="W93">
        <v>64.94252873563217</v>
      </c>
      <c r="X93">
        <v>599.0</v>
      </c>
    </row>
    <row r="94" ht="15.75" customHeight="1">
      <c r="R94">
        <v>58.0</v>
      </c>
      <c r="S94">
        <v>572.2857142857143</v>
      </c>
      <c r="T94">
        <v>85.71428571428567</v>
      </c>
      <c r="U94">
        <v>0.9347268156114201</v>
      </c>
      <c r="W94">
        <v>66.09195402298849</v>
      </c>
      <c r="X94">
        <v>600.0</v>
      </c>
    </row>
    <row r="95" ht="15.75" customHeight="1">
      <c r="R95">
        <v>59.0</v>
      </c>
      <c r="S95">
        <v>512.142857142857</v>
      </c>
      <c r="T95">
        <v>119.857142857143</v>
      </c>
      <c r="U95">
        <v>1.3070596638299714</v>
      </c>
      <c r="W95">
        <v>67.24137931034481</v>
      </c>
      <c r="X95">
        <v>601.0</v>
      </c>
    </row>
    <row r="96" ht="15.75" customHeight="1">
      <c r="R96">
        <v>60.0</v>
      </c>
      <c r="S96">
        <v>574.9999999999998</v>
      </c>
      <c r="T96">
        <v>-31.999999999999773</v>
      </c>
      <c r="U96">
        <v>-0.34896467782826124</v>
      </c>
      <c r="W96">
        <v>68.39080459770113</v>
      </c>
      <c r="X96">
        <v>602.0</v>
      </c>
    </row>
    <row r="97" ht="15.75" customHeight="1">
      <c r="R97">
        <v>61.0</v>
      </c>
      <c r="S97">
        <v>492.9999999999999</v>
      </c>
      <c r="T97">
        <v>9.000000000000114</v>
      </c>
      <c r="U97">
        <v>0.09814631563920041</v>
      </c>
      <c r="W97">
        <v>69.54022988505746</v>
      </c>
      <c r="X97">
        <v>607.0</v>
      </c>
    </row>
    <row r="98" ht="15.75" customHeight="1">
      <c r="R98">
        <v>62.0</v>
      </c>
      <c r="S98">
        <v>479.5</v>
      </c>
      <c r="T98">
        <v>-76.5</v>
      </c>
      <c r="U98">
        <v>-0.834243682933193</v>
      </c>
      <c r="W98">
        <v>70.68965517241378</v>
      </c>
      <c r="X98">
        <v>612.0</v>
      </c>
    </row>
    <row r="99" ht="15.75" customHeight="1">
      <c r="R99">
        <v>63.0</v>
      </c>
      <c r="S99">
        <v>525.2499999999999</v>
      </c>
      <c r="T99">
        <v>-98.24999999999989</v>
      </c>
      <c r="U99">
        <v>-1.0714306123945896</v>
      </c>
      <c r="W99">
        <v>71.8390804597701</v>
      </c>
      <c r="X99">
        <v>613.0</v>
      </c>
    </row>
    <row r="100" ht="15.75" customHeight="1">
      <c r="R100">
        <v>64.0</v>
      </c>
      <c r="S100">
        <v>513.7142857142858</v>
      </c>
      <c r="T100">
        <v>53.28571428571422</v>
      </c>
      <c r="U100">
        <v>0.5810885037050991</v>
      </c>
      <c r="W100">
        <v>72.98850574712642</v>
      </c>
      <c r="X100">
        <v>614.0</v>
      </c>
    </row>
    <row r="101" ht="15.75" customHeight="1">
      <c r="R101">
        <v>65.0</v>
      </c>
      <c r="S101">
        <v>572.1428571428571</v>
      </c>
      <c r="T101">
        <v>-9.14285714285711</v>
      </c>
      <c r="U101">
        <v>-0.09970419366521785</v>
      </c>
      <c r="W101">
        <v>74.13793103448275</v>
      </c>
      <c r="X101">
        <v>624.0</v>
      </c>
    </row>
    <row r="102" ht="15.75" customHeight="1">
      <c r="R102">
        <v>66.0</v>
      </c>
      <c r="S102">
        <v>617.142857142857</v>
      </c>
      <c r="T102">
        <v>-44.142857142857</v>
      </c>
      <c r="U102">
        <v>-0.48138431003988</v>
      </c>
      <c r="W102">
        <v>75.28735632183907</v>
      </c>
      <c r="X102">
        <v>625.0</v>
      </c>
    </row>
    <row r="103" ht="15.75" customHeight="1">
      <c r="R103">
        <v>67.0</v>
      </c>
      <c r="S103">
        <v>622.4285714285713</v>
      </c>
      <c r="T103">
        <v>-22.42857142857133</v>
      </c>
      <c r="U103">
        <v>-0.24458685008498735</v>
      </c>
      <c r="W103">
        <v>76.43678160919539</v>
      </c>
      <c r="X103">
        <v>626.0</v>
      </c>
    </row>
    <row r="104" ht="15.75" customHeight="1">
      <c r="R104">
        <v>68.0</v>
      </c>
      <c r="S104">
        <v>621.0</v>
      </c>
      <c r="T104">
        <v>56.0</v>
      </c>
      <c r="U104">
        <v>0.6106881861994615</v>
      </c>
      <c r="W104">
        <v>77.58620689655172</v>
      </c>
      <c r="X104">
        <v>631.0</v>
      </c>
    </row>
    <row r="105" ht="15.75" customHeight="1">
      <c r="R105">
        <v>69.0</v>
      </c>
      <c r="S105">
        <v>610.0</v>
      </c>
      <c r="T105">
        <v>-20.0</v>
      </c>
      <c r="U105">
        <v>-0.21810292364266481</v>
      </c>
      <c r="W105">
        <v>78.73563218390804</v>
      </c>
      <c r="X105">
        <v>632.0</v>
      </c>
    </row>
    <row r="106" ht="15.75" customHeight="1">
      <c r="R106">
        <v>70.0</v>
      </c>
      <c r="S106">
        <v>572.2857142857143</v>
      </c>
      <c r="T106">
        <v>-144.28571428571433</v>
      </c>
      <c r="U106">
        <v>-1.5734568062792254</v>
      </c>
      <c r="W106">
        <v>79.88505747126436</v>
      </c>
      <c r="X106">
        <v>636.0</v>
      </c>
    </row>
    <row r="107" ht="15.75" customHeight="1">
      <c r="R107">
        <v>71.0</v>
      </c>
      <c r="S107">
        <v>512.142857142857</v>
      </c>
      <c r="T107">
        <v>-144.142857142857</v>
      </c>
      <c r="U107">
        <v>-1.571898928253204</v>
      </c>
      <c r="W107">
        <v>81.03448275862068</v>
      </c>
      <c r="X107">
        <v>637.0</v>
      </c>
    </row>
    <row r="108" ht="15.75" customHeight="1">
      <c r="R108">
        <v>72.0</v>
      </c>
      <c r="S108">
        <v>574.9999999999998</v>
      </c>
      <c r="T108">
        <v>32.00000000000023</v>
      </c>
      <c r="U108">
        <v>0.3489646778282662</v>
      </c>
      <c r="W108">
        <v>82.183908045977</v>
      </c>
      <c r="X108">
        <v>645.0</v>
      </c>
    </row>
    <row r="109" ht="15.75" customHeight="1">
      <c r="R109">
        <v>73.0</v>
      </c>
      <c r="S109">
        <v>492.9999999999999</v>
      </c>
      <c r="T109">
        <v>90.00000000000011</v>
      </c>
      <c r="U109">
        <v>0.9814631563919929</v>
      </c>
      <c r="W109">
        <v>83.33333333333333</v>
      </c>
      <c r="X109">
        <v>657.0</v>
      </c>
    </row>
    <row r="110" ht="15.75" customHeight="1">
      <c r="R110">
        <v>74.0</v>
      </c>
      <c r="S110">
        <v>479.5</v>
      </c>
      <c r="T110">
        <v>70.5</v>
      </c>
      <c r="U110">
        <v>0.7688128058403935</v>
      </c>
      <c r="W110">
        <v>84.48275862068964</v>
      </c>
      <c r="X110">
        <v>658.0</v>
      </c>
    </row>
    <row r="111" ht="15.75" customHeight="1">
      <c r="R111">
        <v>75.0</v>
      </c>
      <c r="S111">
        <v>525.2499999999999</v>
      </c>
      <c r="T111">
        <v>54.750000000000114</v>
      </c>
      <c r="U111">
        <v>0.5970567534717962</v>
      </c>
      <c r="W111">
        <v>85.63218390804596</v>
      </c>
      <c r="X111">
        <v>670.0</v>
      </c>
    </row>
    <row r="112" ht="15.75" customHeight="1">
      <c r="R112">
        <v>76.0</v>
      </c>
      <c r="S112">
        <v>513.7142857142858</v>
      </c>
      <c r="T112">
        <v>8.28571428571422</v>
      </c>
      <c r="U112">
        <v>0.09035692550910329</v>
      </c>
      <c r="W112">
        <v>86.78160919540228</v>
      </c>
      <c r="X112">
        <v>677.0</v>
      </c>
    </row>
    <row r="113" ht="15.75" customHeight="1">
      <c r="R113">
        <v>77.0</v>
      </c>
      <c r="S113">
        <v>572.1428571428571</v>
      </c>
      <c r="T113">
        <v>25.85714285714289</v>
      </c>
      <c r="U113">
        <v>0.2819759227094456</v>
      </c>
      <c r="W113">
        <v>87.9310344827586</v>
      </c>
      <c r="X113">
        <v>679.0</v>
      </c>
    </row>
    <row r="114" ht="15.75" customHeight="1">
      <c r="R114">
        <v>78.0</v>
      </c>
      <c r="S114">
        <v>617.142857142857</v>
      </c>
      <c r="T114">
        <v>-23.142857142856997</v>
      </c>
      <c r="U114">
        <v>-0.252376240215082</v>
      </c>
      <c r="W114">
        <v>89.08045977011493</v>
      </c>
      <c r="X114">
        <v>685.0</v>
      </c>
    </row>
    <row r="115" ht="15.75" customHeight="1">
      <c r="R115">
        <v>79.0</v>
      </c>
      <c r="S115">
        <v>622.4285714285713</v>
      </c>
      <c r="T115">
        <v>75.57142857142867</v>
      </c>
      <c r="U115">
        <v>0.8241174757640702</v>
      </c>
      <c r="W115">
        <v>90.22988505747125</v>
      </c>
      <c r="X115">
        <v>698.0</v>
      </c>
    </row>
    <row r="116" ht="15.75" customHeight="1">
      <c r="R116">
        <v>80.0</v>
      </c>
      <c r="S116">
        <v>621.0</v>
      </c>
      <c r="T116">
        <v>24.0</v>
      </c>
      <c r="U116">
        <v>0.2617235083711978</v>
      </c>
      <c r="W116">
        <v>91.37931034482757</v>
      </c>
      <c r="X116">
        <v>700.0</v>
      </c>
    </row>
    <row r="117" ht="15.75" customHeight="1">
      <c r="R117">
        <v>81.0</v>
      </c>
      <c r="S117">
        <v>610.0</v>
      </c>
      <c r="T117">
        <v>131.0</v>
      </c>
      <c r="U117">
        <v>1.4285741498594546</v>
      </c>
      <c r="W117">
        <v>92.5287356321839</v>
      </c>
      <c r="X117">
        <v>724.0</v>
      </c>
    </row>
    <row r="118" ht="15.75" customHeight="1">
      <c r="R118">
        <v>82.0</v>
      </c>
      <c r="S118">
        <v>572.2857142857143</v>
      </c>
      <c r="T118">
        <v>53.714285714285666</v>
      </c>
      <c r="U118">
        <v>0.5857621377831564</v>
      </c>
      <c r="W118">
        <v>93.67816091954022</v>
      </c>
      <c r="X118">
        <v>733.0</v>
      </c>
    </row>
    <row r="119" ht="15.75" customHeight="1">
      <c r="R119">
        <v>83.0</v>
      </c>
      <c r="S119">
        <v>512.142857142857</v>
      </c>
      <c r="T119">
        <v>-11.142857142856997</v>
      </c>
      <c r="U119">
        <v>-0.12151448602948309</v>
      </c>
      <c r="W119">
        <v>94.82758620689654</v>
      </c>
      <c r="X119">
        <v>740.0</v>
      </c>
    </row>
    <row r="120" ht="15.75" customHeight="1">
      <c r="R120">
        <v>84.0</v>
      </c>
      <c r="S120">
        <v>574.9999999999998</v>
      </c>
      <c r="T120">
        <v>-163.99999999999977</v>
      </c>
      <c r="U120">
        <v>-1.788443973869849</v>
      </c>
      <c r="W120">
        <v>95.97701149425286</v>
      </c>
      <c r="X120">
        <v>741.0</v>
      </c>
    </row>
    <row r="121" ht="15.75" customHeight="1">
      <c r="R121">
        <v>85.0</v>
      </c>
      <c r="S121">
        <v>492.9999999999999</v>
      </c>
      <c r="T121">
        <v>-106.99999999999989</v>
      </c>
      <c r="U121">
        <v>-1.1668506414882556</v>
      </c>
      <c r="W121">
        <v>97.12643678160919</v>
      </c>
      <c r="X121">
        <v>758.0</v>
      </c>
    </row>
    <row r="122" ht="15.75" customHeight="1">
      <c r="R122">
        <v>86.0</v>
      </c>
      <c r="S122">
        <v>479.5</v>
      </c>
      <c r="T122">
        <v>-73.5</v>
      </c>
      <c r="U122">
        <v>-0.8015282443867932</v>
      </c>
      <c r="W122">
        <v>98.27586206896551</v>
      </c>
      <c r="X122">
        <v>763.0</v>
      </c>
    </row>
    <row r="123" ht="15.75" customHeight="1">
      <c r="R123" s="11">
        <v>87.0</v>
      </c>
      <c r="S123" s="11">
        <v>525.2499999999999</v>
      </c>
      <c r="T123" s="11">
        <v>63.750000000000114</v>
      </c>
      <c r="U123" s="11">
        <v>0.6952030691109954</v>
      </c>
      <c r="W123" s="11">
        <v>99.42528735632183</v>
      </c>
      <c r="X123" s="11">
        <v>805.0</v>
      </c>
    </row>
  </sheetData>
  <mergeCells count="1">
    <mergeCell ref="R4:S4"/>
  </mergeCells>
  <dataValidations>
    <dataValidation type="custom" allowBlank="1" showDropDown="1" sqref="A2:P88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14"/>
    <col customWidth="1" min="4" max="4" width="11.71"/>
    <col customWidth="1" min="5" max="5" width="8.71"/>
    <col customWidth="1" min="6" max="20" width="12.57"/>
  </cols>
  <sheetData>
    <row r="1" ht="22.5" customHeight="1">
      <c r="A1" s="6" t="s">
        <v>0</v>
      </c>
      <c r="B1" s="6" t="s">
        <v>2</v>
      </c>
      <c r="C1" s="6" t="s">
        <v>54</v>
      </c>
      <c r="D1" s="6" t="s">
        <v>4</v>
      </c>
      <c r="E1" s="6" t="s">
        <v>10</v>
      </c>
    </row>
    <row r="2" ht="22.5" customHeight="1">
      <c r="A2" s="7">
        <v>2019.0</v>
      </c>
      <c r="B2" s="7">
        <v>1.0</v>
      </c>
      <c r="C2" s="8" t="str">
        <f>DATE('MODELO 3'!$A2,'MODELO 3'!$B2,1)</f>
        <v>1/1/2019</v>
      </c>
      <c r="D2" s="7">
        <v>589.0</v>
      </c>
      <c r="E2" s="7">
        <v>3015000.0</v>
      </c>
      <c r="L2" t="s">
        <v>55</v>
      </c>
    </row>
    <row r="3" ht="22.5" customHeight="1">
      <c r="A3" s="7">
        <v>2019.0</v>
      </c>
      <c r="B3" s="7">
        <v>2.0</v>
      </c>
      <c r="C3" s="8" t="str">
        <f>DATE('MODELO 3'!$A3,'MODELO 3'!$B3,1)</f>
        <v>2/1/2019</v>
      </c>
      <c r="D3" s="7">
        <v>601.0</v>
      </c>
      <c r="E3" s="7">
        <v>3015000.0</v>
      </c>
    </row>
    <row r="4" ht="22.5" customHeight="1">
      <c r="A4" s="7">
        <v>2019.0</v>
      </c>
      <c r="B4" s="7">
        <v>3.0</v>
      </c>
      <c r="C4" s="8" t="str">
        <f>DATE('MODELO 3'!$A4,'MODELO 3'!$B4,1)</f>
        <v>3/1/2019</v>
      </c>
      <c r="D4" s="7">
        <v>579.0</v>
      </c>
      <c r="E4" s="7">
        <v>3015000.0</v>
      </c>
      <c r="L4" s="10" t="s">
        <v>56</v>
      </c>
      <c r="M4" s="12"/>
    </row>
    <row r="5" ht="22.5" customHeight="1">
      <c r="A5" s="7">
        <v>2019.0</v>
      </c>
      <c r="B5" s="7">
        <v>4.0</v>
      </c>
      <c r="C5" s="8" t="str">
        <f>DATE('MODELO 3'!$A5,'MODELO 3'!$B5,1)</f>
        <v>4/1/2019</v>
      </c>
      <c r="D5" s="7">
        <v>614.0</v>
      </c>
      <c r="E5" s="7">
        <v>3015000.0</v>
      </c>
      <c r="L5" t="s">
        <v>57</v>
      </c>
      <c r="M5">
        <v>0.10708060872492939</v>
      </c>
    </row>
    <row r="6" ht="22.5" customHeight="1">
      <c r="A6" s="7">
        <v>2019.0</v>
      </c>
      <c r="B6" s="7">
        <v>5.0</v>
      </c>
      <c r="C6" s="8" t="str">
        <f>DATE('MODELO 3'!$A6,'MODELO 3'!$B6,1)</f>
        <v>5/1/2019</v>
      </c>
      <c r="D6" s="7">
        <v>670.0</v>
      </c>
      <c r="E6" s="7">
        <v>3015000.0</v>
      </c>
      <c r="L6" t="s">
        <v>58</v>
      </c>
      <c r="M6" s="13">
        <v>0.011466256764901423</v>
      </c>
    </row>
    <row r="7" ht="22.5" customHeight="1">
      <c r="A7" s="7">
        <v>2019.0</v>
      </c>
      <c r="B7" s="7">
        <v>6.0</v>
      </c>
      <c r="C7" s="8" t="str">
        <f>DATE('MODELO 3'!$A7,'MODELO 3'!$B7,1)</f>
        <v>6/1/2019</v>
      </c>
      <c r="D7" s="7">
        <v>636.0</v>
      </c>
      <c r="E7" s="7">
        <v>3015000.0</v>
      </c>
      <c r="L7" t="s">
        <v>59</v>
      </c>
      <c r="M7" s="13">
        <v>-0.002655653852742842</v>
      </c>
    </row>
    <row r="8" ht="22.5" customHeight="1">
      <c r="A8" s="7">
        <v>2019.0</v>
      </c>
      <c r="B8" s="7">
        <v>7.0</v>
      </c>
      <c r="C8" s="8" t="str">
        <f>DATE('MODELO 3'!$A8,'MODELO 3'!$B8,1)</f>
        <v>7/1/2019</v>
      </c>
      <c r="D8" s="7">
        <v>763.0</v>
      </c>
      <c r="E8" s="7">
        <v>3015000.0</v>
      </c>
      <c r="L8" t="s">
        <v>60</v>
      </c>
      <c r="M8">
        <v>106.78502941334642</v>
      </c>
    </row>
    <row r="9" ht="22.5" customHeight="1">
      <c r="A9" s="7">
        <v>2019.0</v>
      </c>
      <c r="B9" s="7">
        <v>8.0</v>
      </c>
      <c r="C9" s="8" t="str">
        <f>DATE('MODELO 3'!$A9,'MODELO 3'!$B9,1)</f>
        <v>8/1/2019</v>
      </c>
      <c r="D9" s="7">
        <v>805.0</v>
      </c>
      <c r="E9" s="7">
        <v>3015000.0</v>
      </c>
      <c r="L9" s="11" t="s">
        <v>61</v>
      </c>
      <c r="M9" s="11">
        <v>72.0</v>
      </c>
    </row>
    <row r="10" ht="22.5" customHeight="1">
      <c r="A10" s="7">
        <v>2019.0</v>
      </c>
      <c r="B10" s="7">
        <v>9.0</v>
      </c>
      <c r="C10" s="8" t="str">
        <f>DATE('MODELO 3'!$A10,'MODELO 3'!$B10,1)</f>
        <v>9/1/2019</v>
      </c>
      <c r="D10" s="7">
        <v>612.0</v>
      </c>
      <c r="E10" s="7">
        <v>3015000.0</v>
      </c>
    </row>
    <row r="11" ht="22.5" customHeight="1">
      <c r="A11" s="7">
        <v>2019.0</v>
      </c>
      <c r="B11" s="7">
        <v>10.0</v>
      </c>
      <c r="C11" s="8" t="str">
        <f>DATE('MODELO 3'!$A11,'MODELO 3'!$B11,1)</f>
        <v>10/1/2019</v>
      </c>
      <c r="D11" s="7">
        <v>679.0</v>
      </c>
      <c r="E11" s="7">
        <v>3015000.0</v>
      </c>
      <c r="L11" t="s">
        <v>62</v>
      </c>
    </row>
    <row r="12" ht="22.5" customHeight="1">
      <c r="A12" s="7">
        <v>2019.0</v>
      </c>
      <c r="B12" s="7">
        <v>11.0</v>
      </c>
      <c r="C12" s="8" t="str">
        <f>DATE('MODELO 3'!$A12,'MODELO 3'!$B12,1)</f>
        <v>11/1/2019</v>
      </c>
      <c r="D12" s="7">
        <v>624.0</v>
      </c>
      <c r="E12" s="7">
        <v>3015000.0</v>
      </c>
      <c r="L12" s="10"/>
      <c r="M12" s="10" t="s">
        <v>63</v>
      </c>
      <c r="N12" s="10" t="s">
        <v>64</v>
      </c>
      <c r="O12" s="10" t="s">
        <v>65</v>
      </c>
      <c r="P12" s="10" t="s">
        <v>66</v>
      </c>
      <c r="Q12" s="10" t="s">
        <v>67</v>
      </c>
    </row>
    <row r="13" ht="22.5" customHeight="1">
      <c r="A13" s="7">
        <v>2019.0</v>
      </c>
      <c r="B13" s="7">
        <v>12.0</v>
      </c>
      <c r="C13" s="8" t="str">
        <f>DATE('MODELO 3'!$A13,'MODELO 3'!$B13,1)</f>
        <v>12/1/2019</v>
      </c>
      <c r="D13" s="7">
        <v>700.0</v>
      </c>
      <c r="E13" s="7">
        <v>3015000.0</v>
      </c>
      <c r="L13" t="s">
        <v>68</v>
      </c>
      <c r="M13">
        <v>1.0</v>
      </c>
      <c r="N13">
        <v>9258.677301129326</v>
      </c>
      <c r="O13">
        <v>9258.677301129326</v>
      </c>
      <c r="P13">
        <v>0.8119479775332382</v>
      </c>
      <c r="Q13" s="13">
        <v>0.37063479256406495</v>
      </c>
    </row>
    <row r="14" ht="22.5" customHeight="1">
      <c r="A14" s="7">
        <v>2020.0</v>
      </c>
      <c r="B14" s="7">
        <v>1.0</v>
      </c>
      <c r="C14" s="8" t="str">
        <f>DATE('MODELO 3'!$A14,'MODELO 3'!$B14,1)</f>
        <v>1/1/2020</v>
      </c>
      <c r="D14" s="7">
        <v>597.0</v>
      </c>
      <c r="E14" s="7">
        <v>3052546.0</v>
      </c>
      <c r="L14" t="s">
        <v>69</v>
      </c>
      <c r="M14">
        <v>70.0</v>
      </c>
      <c r="N14">
        <v>798212.9754766483</v>
      </c>
      <c r="O14">
        <v>11403.04250680926</v>
      </c>
    </row>
    <row r="15" ht="22.5" customHeight="1">
      <c r="A15" s="7">
        <v>2020.0</v>
      </c>
      <c r="B15" s="7">
        <v>2.0</v>
      </c>
      <c r="C15" s="8" t="str">
        <f>DATE('MODELO 3'!$A15,'MODELO 3'!$B15,1)</f>
        <v>2/1/2020</v>
      </c>
      <c r="D15" s="7">
        <v>526.0</v>
      </c>
      <c r="E15" s="7">
        <v>3052546.0</v>
      </c>
      <c r="L15" s="11" t="s">
        <v>70</v>
      </c>
      <c r="M15" s="11">
        <v>71.0</v>
      </c>
      <c r="N15" s="11">
        <v>807471.6527777776</v>
      </c>
      <c r="O15" s="11"/>
      <c r="P15" s="11"/>
      <c r="Q15" s="11"/>
    </row>
    <row r="16" ht="22.5" customHeight="1">
      <c r="A16" s="7">
        <v>2020.0</v>
      </c>
      <c r="B16" s="7">
        <v>3.0</v>
      </c>
      <c r="C16" s="8" t="str">
        <f>DATE('MODELO 3'!$A16,'MODELO 3'!$B16,1)</f>
        <v>3/1/2020</v>
      </c>
      <c r="D16" s="7">
        <v>563.0</v>
      </c>
      <c r="E16" s="7">
        <v>3052546.0</v>
      </c>
    </row>
    <row r="17" ht="22.5" customHeight="1">
      <c r="A17" s="7">
        <v>2020.0</v>
      </c>
      <c r="B17" s="7">
        <v>4.0</v>
      </c>
      <c r="C17" s="8" t="str">
        <f>DATE('MODELO 3'!$A17,'MODELO 3'!$B17,1)</f>
        <v>4/1/2020</v>
      </c>
      <c r="D17" s="7">
        <v>340.0</v>
      </c>
      <c r="E17" s="7">
        <v>3052546.0</v>
      </c>
      <c r="L17" s="10"/>
      <c r="M17" s="10" t="s">
        <v>71</v>
      </c>
      <c r="N17" s="10" t="s">
        <v>60</v>
      </c>
      <c r="O17" s="10" t="s">
        <v>72</v>
      </c>
      <c r="P17" s="10" t="s">
        <v>73</v>
      </c>
      <c r="Q17" s="10" t="s">
        <v>74</v>
      </c>
      <c r="R17" s="10" t="s">
        <v>75</v>
      </c>
      <c r="S17" s="10" t="s">
        <v>76</v>
      </c>
      <c r="T17" s="10" t="s">
        <v>77</v>
      </c>
    </row>
    <row r="18" ht="22.5" customHeight="1">
      <c r="A18" s="7">
        <v>2020.0</v>
      </c>
      <c r="B18" s="7">
        <v>5.0</v>
      </c>
      <c r="C18" s="8" t="str">
        <f>DATE('MODELO 3'!$A18,'MODELO 3'!$B18,1)</f>
        <v>5/1/2020</v>
      </c>
      <c r="D18" s="7">
        <v>448.0</v>
      </c>
      <c r="E18" s="7">
        <v>3052546.0</v>
      </c>
      <c r="L18" t="s">
        <v>78</v>
      </c>
      <c r="M18">
        <v>1100.43962491216</v>
      </c>
      <c r="N18">
        <v>603.8601505584849</v>
      </c>
      <c r="O18">
        <v>1.8223418516595435</v>
      </c>
      <c r="P18">
        <v>0.07267443733366566</v>
      </c>
      <c r="Q18">
        <v>-103.92146968141765</v>
      </c>
      <c r="R18">
        <v>2304.800719505738</v>
      </c>
      <c r="S18">
        <v>-103.92146968141765</v>
      </c>
      <c r="T18">
        <v>2304.800719505738</v>
      </c>
    </row>
    <row r="19" ht="22.5" customHeight="1">
      <c r="A19" s="7">
        <v>2020.0</v>
      </c>
      <c r="B19" s="7">
        <v>6.0</v>
      </c>
      <c r="C19" s="8" t="str">
        <f>DATE('MODELO 3'!$A19,'MODELO 3'!$B19,1)</f>
        <v>6/1/2020</v>
      </c>
      <c r="D19" s="7">
        <v>486.0</v>
      </c>
      <c r="E19" s="7">
        <v>3052546.0</v>
      </c>
      <c r="L19" s="11" t="s">
        <v>10</v>
      </c>
      <c r="M19" s="11">
        <v>-1.7491504067642695E-4</v>
      </c>
      <c r="N19" s="11">
        <v>1.9411676863318283E-4</v>
      </c>
      <c r="O19" s="11">
        <v>-0.9010815598674998</v>
      </c>
      <c r="P19" s="14">
        <v>0.37063479256406273</v>
      </c>
      <c r="Q19" s="11">
        <v>-5.620687280555475E-4</v>
      </c>
      <c r="R19" s="11">
        <v>2.1223864670269363E-4</v>
      </c>
      <c r="S19" s="11">
        <v>-5.620687280555475E-4</v>
      </c>
      <c r="T19" s="11">
        <v>2.1223864670269363E-4</v>
      </c>
    </row>
    <row r="20" ht="22.5" customHeight="1">
      <c r="A20" s="7">
        <v>2020.0</v>
      </c>
      <c r="B20" s="7">
        <v>7.0</v>
      </c>
      <c r="C20" s="8" t="str">
        <f>DATE('MODELO 3'!$A20,'MODELO 3'!$B20,1)</f>
        <v>7/1/2020</v>
      </c>
      <c r="D20" s="7">
        <v>517.0</v>
      </c>
      <c r="E20" s="7">
        <v>3052546.0</v>
      </c>
    </row>
    <row r="21" ht="22.5" customHeight="1">
      <c r="A21" s="7">
        <v>2020.0</v>
      </c>
      <c r="B21" s="7">
        <v>8.0</v>
      </c>
      <c r="C21" s="8" t="str">
        <f>DATE('MODELO 3'!$A21,'MODELO 3'!$B21,1)</f>
        <v>8/1/2020</v>
      </c>
      <c r="D21" s="7">
        <v>402.0</v>
      </c>
      <c r="E21" s="7">
        <v>3052546.0</v>
      </c>
    </row>
    <row r="22" ht="22.5" customHeight="1">
      <c r="A22" s="7">
        <v>2020.0</v>
      </c>
      <c r="B22" s="7">
        <v>9.0</v>
      </c>
      <c r="C22" s="8" t="str">
        <f>DATE('MODELO 3'!$A22,'MODELO 3'!$B22,1)</f>
        <v>9/1/2020</v>
      </c>
      <c r="D22" s="7">
        <v>406.0</v>
      </c>
      <c r="E22" s="7">
        <v>3052546.0</v>
      </c>
    </row>
    <row r="23" ht="22.5" customHeight="1">
      <c r="A23" s="7">
        <v>2020.0</v>
      </c>
      <c r="B23" s="7">
        <v>10.0</v>
      </c>
      <c r="C23" s="8" t="str">
        <f>DATE('MODELO 3'!$A23,'MODELO 3'!$B23,1)</f>
        <v>10/1/2020</v>
      </c>
      <c r="D23" s="7">
        <v>456.0</v>
      </c>
      <c r="E23" s="7">
        <v>3052546.0</v>
      </c>
      <c r="L23" t="s">
        <v>79</v>
      </c>
      <c r="Q23" t="s">
        <v>80</v>
      </c>
    </row>
    <row r="24" ht="22.5" customHeight="1">
      <c r="A24" s="7">
        <v>2020.0</v>
      </c>
      <c r="B24" s="7">
        <v>11.0</v>
      </c>
      <c r="C24" s="8" t="str">
        <f>DATE('MODELO 3'!$A24,'MODELO 3'!$B24,1)</f>
        <v>11/1/2020</v>
      </c>
      <c r="D24" s="7">
        <v>417.0</v>
      </c>
      <c r="E24" s="7">
        <v>3052546.0</v>
      </c>
    </row>
    <row r="25" ht="22.5" customHeight="1">
      <c r="A25" s="7">
        <v>2020.0</v>
      </c>
      <c r="B25" s="7">
        <v>12.0</v>
      </c>
      <c r="C25" s="8" t="str">
        <f>DATE('MODELO 3'!$A25,'MODELO 3'!$B25,1)</f>
        <v>12/1/2020</v>
      </c>
      <c r="D25" s="7">
        <v>490.0</v>
      </c>
      <c r="E25" s="7">
        <v>3052546.0</v>
      </c>
      <c r="L25" s="10" t="s">
        <v>81</v>
      </c>
      <c r="M25" s="10" t="s">
        <v>82</v>
      </c>
      <c r="N25" s="10" t="s">
        <v>83</v>
      </c>
      <c r="O25" s="10" t="s">
        <v>84</v>
      </c>
      <c r="Q25" s="10" t="s">
        <v>85</v>
      </c>
      <c r="R25" s="10" t="s">
        <v>4</v>
      </c>
    </row>
    <row r="26" ht="22.5" customHeight="1">
      <c r="A26" s="7">
        <v>2021.0</v>
      </c>
      <c r="B26" s="7">
        <v>1.0</v>
      </c>
      <c r="C26" s="8" t="str">
        <f>DATE('MODELO 3'!$A26,'MODELO 3'!$B26,1)</f>
        <v>1/1/2021</v>
      </c>
      <c r="D26" s="7">
        <v>401.0</v>
      </c>
      <c r="E26" s="7">
        <v>3091667.0</v>
      </c>
      <c r="L26">
        <v>1.0</v>
      </c>
      <c r="M26">
        <v>573.0707772727328</v>
      </c>
      <c r="N26">
        <v>15.929222727267188</v>
      </c>
      <c r="O26">
        <v>0.15023266366936083</v>
      </c>
      <c r="Q26">
        <v>0.6944444444444444</v>
      </c>
      <c r="R26">
        <v>340.0</v>
      </c>
    </row>
    <row r="27" ht="22.5" customHeight="1">
      <c r="A27" s="7">
        <v>2021.0</v>
      </c>
      <c r="B27" s="7">
        <v>2.0</v>
      </c>
      <c r="C27" s="8" t="str">
        <f>DATE('MODELO 3'!$A27,'MODELO 3'!$B27,1)</f>
        <v>2/1/2021</v>
      </c>
      <c r="D27" s="7">
        <v>422.0</v>
      </c>
      <c r="E27" s="7">
        <v>3091667.0</v>
      </c>
      <c r="L27">
        <v>2.0</v>
      </c>
      <c r="M27">
        <v>573.0707772727328</v>
      </c>
      <c r="N27">
        <v>27.929222727267188</v>
      </c>
      <c r="O27">
        <v>0.2634078006423885</v>
      </c>
      <c r="Q27">
        <v>2.083333333333333</v>
      </c>
      <c r="R27">
        <v>368.0</v>
      </c>
    </row>
    <row r="28" ht="22.5" customHeight="1">
      <c r="A28" s="7">
        <v>2021.0</v>
      </c>
      <c r="B28" s="7">
        <v>3.0</v>
      </c>
      <c r="C28" s="8" t="str">
        <f>DATE('MODELO 3'!$A28,'MODELO 3'!$B28,1)</f>
        <v>3/1/2021</v>
      </c>
      <c r="D28" s="7">
        <v>485.0</v>
      </c>
      <c r="E28" s="7">
        <v>3091667.0</v>
      </c>
      <c r="L28">
        <v>3.0</v>
      </c>
      <c r="M28">
        <v>573.0707772727328</v>
      </c>
      <c r="N28">
        <v>5.929222727267188</v>
      </c>
      <c r="O28">
        <v>0.05592004952517107</v>
      </c>
      <c r="Q28">
        <v>3.4722222222222223</v>
      </c>
      <c r="R28">
        <v>390.0</v>
      </c>
    </row>
    <row r="29" ht="22.5" customHeight="1">
      <c r="A29" s="7">
        <v>2021.0</v>
      </c>
      <c r="B29" s="7">
        <v>4.0</v>
      </c>
      <c r="C29" s="8" t="str">
        <f>DATE('MODELO 3'!$A29,'MODELO 3'!$B29,1)</f>
        <v>4/1/2021</v>
      </c>
      <c r="D29" s="7">
        <v>432.0</v>
      </c>
      <c r="E29" s="7">
        <v>3091667.0</v>
      </c>
      <c r="L29">
        <v>4.0</v>
      </c>
      <c r="M29">
        <v>573.0707772727328</v>
      </c>
      <c r="N29">
        <v>40.92922272726719</v>
      </c>
      <c r="O29">
        <v>0.3860141990298352</v>
      </c>
      <c r="Q29">
        <v>4.861111111111111</v>
      </c>
      <c r="R29">
        <v>401.0</v>
      </c>
    </row>
    <row r="30" ht="22.5" customHeight="1">
      <c r="A30" s="7">
        <v>2021.0</v>
      </c>
      <c r="B30" s="7">
        <v>5.0</v>
      </c>
      <c r="C30" s="8" t="str">
        <f>DATE('MODELO 3'!$A30,'MODELO 3'!$B30,1)</f>
        <v>5/1/2021</v>
      </c>
      <c r="D30" s="7">
        <v>412.0</v>
      </c>
      <c r="E30" s="7">
        <v>3091667.0</v>
      </c>
      <c r="L30">
        <v>5.0</v>
      </c>
      <c r="M30">
        <v>573.0707772727328</v>
      </c>
      <c r="N30">
        <v>96.92922272726719</v>
      </c>
      <c r="O30">
        <v>0.9141648382372978</v>
      </c>
      <c r="Q30">
        <v>6.25</v>
      </c>
      <c r="R30">
        <v>402.0</v>
      </c>
    </row>
    <row r="31" ht="22.5" customHeight="1">
      <c r="A31" s="7">
        <v>2021.0</v>
      </c>
      <c r="B31" s="7">
        <v>6.0</v>
      </c>
      <c r="C31" s="8" t="str">
        <f>DATE('MODELO 3'!$A31,'MODELO 3'!$B31,1)</f>
        <v>6/1/2021</v>
      </c>
      <c r="D31" s="7">
        <v>549.0</v>
      </c>
      <c r="E31" s="7">
        <v>3091667.0</v>
      </c>
      <c r="L31">
        <v>6.0</v>
      </c>
      <c r="M31">
        <v>573.0707772727328</v>
      </c>
      <c r="N31">
        <v>62.92922272726719</v>
      </c>
      <c r="O31">
        <v>0.5935019501470526</v>
      </c>
      <c r="Q31">
        <v>7.638888888888889</v>
      </c>
      <c r="R31">
        <v>403.0</v>
      </c>
    </row>
    <row r="32" ht="22.5" customHeight="1">
      <c r="A32" s="7">
        <v>2021.0</v>
      </c>
      <c r="B32" s="7">
        <v>7.0</v>
      </c>
      <c r="C32" s="8" t="str">
        <f>DATE('MODELO 3'!$A32,'MODELO 3'!$B32,1)</f>
        <v>7/1/2021</v>
      </c>
      <c r="D32" s="7">
        <v>527.0</v>
      </c>
      <c r="E32" s="7">
        <v>3091667.0</v>
      </c>
      <c r="L32">
        <v>7.0</v>
      </c>
      <c r="M32">
        <v>573.0707772727328</v>
      </c>
      <c r="N32">
        <v>189.9292227272672</v>
      </c>
      <c r="O32">
        <v>1.7912721497782624</v>
      </c>
      <c r="Q32">
        <v>9.027777777777777</v>
      </c>
      <c r="R32">
        <v>406.0</v>
      </c>
    </row>
    <row r="33" ht="22.5" customHeight="1">
      <c r="A33" s="7">
        <v>2021.0</v>
      </c>
      <c r="B33" s="7">
        <v>8.0</v>
      </c>
      <c r="C33" s="8" t="str">
        <f>DATE('MODELO 3'!$A33,'MODELO 3'!$B33,1)</f>
        <v>8/1/2021</v>
      </c>
      <c r="D33" s="7">
        <v>631.0</v>
      </c>
      <c r="E33" s="7">
        <v>3091667.0</v>
      </c>
      <c r="L33">
        <v>8.0</v>
      </c>
      <c r="M33">
        <v>573.0707772727328</v>
      </c>
      <c r="N33">
        <v>231.9292227272672</v>
      </c>
      <c r="O33">
        <v>2.1873851291838595</v>
      </c>
      <c r="Q33">
        <v>10.416666666666666</v>
      </c>
      <c r="R33">
        <v>412.0</v>
      </c>
    </row>
    <row r="34" ht="22.5" customHeight="1">
      <c r="A34" s="7">
        <v>2021.0</v>
      </c>
      <c r="B34" s="7">
        <v>9.0</v>
      </c>
      <c r="C34" s="8" t="str">
        <f>DATE('MODELO 3'!$A34,'MODELO 3'!$B34,1)</f>
        <v>9/1/2021</v>
      </c>
      <c r="D34" s="7">
        <v>599.0</v>
      </c>
      <c r="E34" s="7">
        <v>3091667.0</v>
      </c>
      <c r="L34">
        <v>9.0</v>
      </c>
      <c r="M34">
        <v>573.0707772727328</v>
      </c>
      <c r="N34">
        <v>38.92922272726719</v>
      </c>
      <c r="O34">
        <v>0.36715167620099726</v>
      </c>
      <c r="Q34">
        <v>11.805555555555555</v>
      </c>
      <c r="R34">
        <v>417.0</v>
      </c>
    </row>
    <row r="35" ht="22.5" customHeight="1">
      <c r="A35" s="7">
        <v>2021.0</v>
      </c>
      <c r="B35" s="7">
        <v>10.0</v>
      </c>
      <c r="C35" s="8" t="str">
        <f>DATE('MODELO 3'!$A35,'MODELO 3'!$B35,1)</f>
        <v>10/1/2021</v>
      </c>
      <c r="D35" s="7">
        <v>557.0</v>
      </c>
      <c r="E35" s="7">
        <v>3091667.0</v>
      </c>
      <c r="L35">
        <v>10.0</v>
      </c>
      <c r="M35">
        <v>573.0707772727328</v>
      </c>
      <c r="N35">
        <v>105.92922272726719</v>
      </c>
      <c r="O35">
        <v>0.9990461909670686</v>
      </c>
      <c r="Q35">
        <v>13.194444444444445</v>
      </c>
      <c r="R35">
        <v>422.0</v>
      </c>
    </row>
    <row r="36" ht="22.5" customHeight="1">
      <c r="A36" s="7">
        <v>2021.0</v>
      </c>
      <c r="B36" s="7">
        <v>11.0</v>
      </c>
      <c r="C36" s="8" t="str">
        <f>DATE('MODELO 3'!$A36,'MODELO 3'!$B36,1)</f>
        <v>11/1/2021</v>
      </c>
      <c r="D36" s="7">
        <v>613.0</v>
      </c>
      <c r="E36" s="7">
        <v>3091667.0</v>
      </c>
      <c r="L36">
        <v>11.0</v>
      </c>
      <c r="M36">
        <v>573.0707772727328</v>
      </c>
      <c r="N36">
        <v>50.92922272726719</v>
      </c>
      <c r="O36">
        <v>0.4803268131740249</v>
      </c>
      <c r="Q36">
        <v>14.583333333333334</v>
      </c>
      <c r="R36">
        <v>427.0</v>
      </c>
    </row>
    <row r="37" ht="22.5" customHeight="1">
      <c r="A37" s="7">
        <v>2021.0</v>
      </c>
      <c r="B37" s="7">
        <v>12.0</v>
      </c>
      <c r="C37" s="8" t="str">
        <f>DATE('MODELO 3'!$A37,'MODELO 3'!$B37,1)</f>
        <v>12/1/2021</v>
      </c>
      <c r="D37" s="7">
        <v>733.0</v>
      </c>
      <c r="E37" s="7">
        <v>3091667.0</v>
      </c>
      <c r="L37">
        <v>12.0</v>
      </c>
      <c r="M37">
        <v>573.0707772727328</v>
      </c>
      <c r="N37">
        <v>126.92922272726719</v>
      </c>
      <c r="O37">
        <v>1.197102680669867</v>
      </c>
      <c r="Q37">
        <v>15.972222222222221</v>
      </c>
      <c r="R37">
        <v>427.0</v>
      </c>
    </row>
    <row r="38" ht="22.5" customHeight="1">
      <c r="A38" s="7">
        <v>2022.0</v>
      </c>
      <c r="B38" s="7">
        <v>1.0</v>
      </c>
      <c r="C38" s="8" t="str">
        <f>DATE('MODELO 3'!$A38,'MODELO 3'!$B38,1)</f>
        <v>1/1/2022</v>
      </c>
      <c r="D38" s="7">
        <v>390.0</v>
      </c>
      <c r="E38" s="7">
        <v>3130014.0</v>
      </c>
      <c r="L38">
        <v>13.0</v>
      </c>
      <c r="M38">
        <v>566.5034171554956</v>
      </c>
      <c r="N38">
        <v>30.49658284450436</v>
      </c>
      <c r="O38">
        <v>0.2876212450530056</v>
      </c>
      <c r="Q38">
        <v>17.361111111111107</v>
      </c>
      <c r="R38">
        <v>428.0</v>
      </c>
    </row>
    <row r="39" ht="22.5" customHeight="1">
      <c r="A39" s="7">
        <v>2022.0</v>
      </c>
      <c r="B39" s="7">
        <v>2.0</v>
      </c>
      <c r="C39" s="8" t="str">
        <f>DATE('MODELO 3'!$A39,'MODELO 3'!$B39,1)</f>
        <v>2/1/2022</v>
      </c>
      <c r="D39" s="7">
        <v>481.0</v>
      </c>
      <c r="E39" s="7">
        <v>3130014.0</v>
      </c>
      <c r="L39">
        <v>14.0</v>
      </c>
      <c r="M39">
        <v>566.5034171554956</v>
      </c>
      <c r="N39">
        <v>-40.50341715549564</v>
      </c>
      <c r="O39">
        <v>-0.3819983153707416</v>
      </c>
      <c r="Q39">
        <v>18.749999999999996</v>
      </c>
      <c r="R39">
        <v>430.0</v>
      </c>
    </row>
    <row r="40" ht="22.5" customHeight="1">
      <c r="A40" s="7">
        <v>2022.0</v>
      </c>
      <c r="B40" s="7">
        <v>3.0</v>
      </c>
      <c r="C40" s="8" t="str">
        <f>DATE('MODELO 3'!$A40,'MODELO 3'!$B40,1)</f>
        <v>3/1/2022</v>
      </c>
      <c r="D40" s="7">
        <v>552.0</v>
      </c>
      <c r="E40" s="7">
        <v>3130014.0</v>
      </c>
      <c r="L40">
        <v>15.0</v>
      </c>
      <c r="M40">
        <v>566.5034171554956</v>
      </c>
      <c r="N40">
        <v>-3.50341715549564</v>
      </c>
      <c r="O40">
        <v>-0.03304164303723951</v>
      </c>
      <c r="Q40">
        <v>20.138888888888886</v>
      </c>
      <c r="R40">
        <v>432.0</v>
      </c>
    </row>
    <row r="41" ht="22.5" customHeight="1">
      <c r="A41" s="7">
        <v>2022.0</v>
      </c>
      <c r="B41" s="7">
        <v>4.0</v>
      </c>
      <c r="C41" s="8" t="str">
        <f>DATE('MODELO 3'!$A41,'MODELO 3'!$B41,1)</f>
        <v>4/1/2022</v>
      </c>
      <c r="D41" s="7">
        <v>539.0</v>
      </c>
      <c r="E41" s="7">
        <v>3130014.0</v>
      </c>
      <c r="L41">
        <v>16.0</v>
      </c>
      <c r="M41">
        <v>566.5034171554956</v>
      </c>
      <c r="N41">
        <v>-226.50341715549564</v>
      </c>
      <c r="O41">
        <v>-2.136212938452671</v>
      </c>
      <c r="Q41">
        <v>21.527777777777775</v>
      </c>
      <c r="R41">
        <v>447.0</v>
      </c>
    </row>
    <row r="42" ht="22.5" customHeight="1">
      <c r="A42" s="7">
        <v>2022.0</v>
      </c>
      <c r="B42" s="7">
        <v>5.0</v>
      </c>
      <c r="C42" s="8" t="str">
        <f>DATE('MODELO 3'!$A42,'MODELO 3'!$B42,1)</f>
        <v>5/1/2022</v>
      </c>
      <c r="D42" s="7">
        <v>574.0</v>
      </c>
      <c r="E42" s="7">
        <v>3130014.0</v>
      </c>
      <c r="L42">
        <v>17.0</v>
      </c>
      <c r="M42">
        <v>566.5034171554956</v>
      </c>
      <c r="N42">
        <v>-118.50341715549564</v>
      </c>
      <c r="O42">
        <v>-1.1176367056954217</v>
      </c>
      <c r="Q42">
        <v>22.916666666666664</v>
      </c>
      <c r="R42">
        <v>448.0</v>
      </c>
    </row>
    <row r="43" ht="22.5" customHeight="1">
      <c r="A43" s="7">
        <v>2022.0</v>
      </c>
      <c r="B43" s="7">
        <v>6.0</v>
      </c>
      <c r="C43" s="8" t="str">
        <f>DATE('MODELO 3'!$A43,'MODELO 3'!$B43,1)</f>
        <v>6/1/2022</v>
      </c>
      <c r="D43" s="7">
        <v>758.0</v>
      </c>
      <c r="E43" s="7">
        <v>3130014.0</v>
      </c>
      <c r="L43">
        <v>18.0</v>
      </c>
      <c r="M43">
        <v>566.5034171554956</v>
      </c>
      <c r="N43">
        <v>-80.50341715549564</v>
      </c>
      <c r="O43">
        <v>-0.7592487719475006</v>
      </c>
      <c r="Q43">
        <v>24.305555555555554</v>
      </c>
      <c r="R43">
        <v>456.0</v>
      </c>
    </row>
    <row r="44" ht="22.5" customHeight="1">
      <c r="A44" s="7">
        <v>2022.0</v>
      </c>
      <c r="B44" s="7">
        <v>7.0</v>
      </c>
      <c r="C44" s="8" t="str">
        <f>DATE('MODELO 3'!$A44,'MODELO 3'!$B44,1)</f>
        <v>7/1/2022</v>
      </c>
      <c r="D44" s="7">
        <v>595.0</v>
      </c>
      <c r="E44" s="7">
        <v>3130014.0</v>
      </c>
      <c r="L44">
        <v>19.0</v>
      </c>
      <c r="M44">
        <v>566.5034171554956</v>
      </c>
      <c r="N44">
        <v>-49.50341715549564</v>
      </c>
      <c r="O44">
        <v>-0.46687966810051235</v>
      </c>
      <c r="Q44">
        <v>25.694444444444443</v>
      </c>
      <c r="R44">
        <v>481.0</v>
      </c>
    </row>
    <row r="45" ht="22.5" customHeight="1">
      <c r="A45" s="7">
        <v>2022.0</v>
      </c>
      <c r="B45" s="7">
        <v>8.0</v>
      </c>
      <c r="C45" s="8" t="str">
        <f>DATE('MODELO 3'!$A45,'MODELO 3'!$B45,1)</f>
        <v>8/1/2022</v>
      </c>
      <c r="D45" s="7">
        <v>562.0</v>
      </c>
      <c r="E45" s="7">
        <v>3130014.0</v>
      </c>
      <c r="L45">
        <v>20.0</v>
      </c>
      <c r="M45">
        <v>566.5034171554956</v>
      </c>
      <c r="N45">
        <v>-164.50341715549564</v>
      </c>
      <c r="O45">
        <v>-1.5514747307586945</v>
      </c>
      <c r="Q45">
        <v>27.083333333333332</v>
      </c>
      <c r="R45">
        <v>485.0</v>
      </c>
    </row>
    <row r="46" ht="22.5" customHeight="1">
      <c r="A46" s="7">
        <v>2022.0</v>
      </c>
      <c r="B46" s="7">
        <v>9.0</v>
      </c>
      <c r="C46" s="8" t="str">
        <f>DATE('MODELO 3'!$A46,'MODELO 3'!$B46,1)</f>
        <v>9/1/2022</v>
      </c>
      <c r="D46" s="7">
        <v>637.0</v>
      </c>
      <c r="E46" s="7">
        <v>3130014.0</v>
      </c>
      <c r="L46">
        <v>21.0</v>
      </c>
      <c r="M46">
        <v>566.5034171554956</v>
      </c>
      <c r="N46">
        <v>-160.50341715549564</v>
      </c>
      <c r="O46">
        <v>-1.5137496851010186</v>
      </c>
      <c r="Q46">
        <v>28.47222222222222</v>
      </c>
      <c r="R46">
        <v>486.0</v>
      </c>
    </row>
    <row r="47" ht="22.5" customHeight="1">
      <c r="A47" s="7">
        <v>2022.0</v>
      </c>
      <c r="B47" s="7">
        <v>10.0</v>
      </c>
      <c r="C47" s="8" t="str">
        <f>DATE('MODELO 3'!$A47,'MODELO 3'!$B47,1)</f>
        <v>10/1/2022</v>
      </c>
      <c r="D47" s="7">
        <v>602.0</v>
      </c>
      <c r="E47" s="7">
        <v>3130014.0</v>
      </c>
      <c r="L47">
        <v>22.0</v>
      </c>
      <c r="M47">
        <v>566.5034171554956</v>
      </c>
      <c r="N47">
        <v>-110.50341715549564</v>
      </c>
      <c r="O47">
        <v>-1.0421866143800698</v>
      </c>
      <c r="Q47">
        <v>29.861111111111107</v>
      </c>
      <c r="R47">
        <v>490.0</v>
      </c>
    </row>
    <row r="48" ht="22.5" customHeight="1">
      <c r="A48" s="7">
        <v>2022.0</v>
      </c>
      <c r="B48" s="7">
        <v>11.0</v>
      </c>
      <c r="C48" s="8" t="str">
        <f>DATE('MODELO 3'!$A48,'MODELO 3'!$B48,1)</f>
        <v>11/1/2022</v>
      </c>
      <c r="D48" s="7">
        <v>430.0</v>
      </c>
      <c r="E48" s="7">
        <v>3130014.0</v>
      </c>
      <c r="L48">
        <v>23.0</v>
      </c>
      <c r="M48">
        <v>566.5034171554956</v>
      </c>
      <c r="N48">
        <v>-149.50341715549564</v>
      </c>
      <c r="O48">
        <v>-1.41000580954241</v>
      </c>
      <c r="Q48">
        <v>31.249999999999996</v>
      </c>
      <c r="R48">
        <v>496.0</v>
      </c>
    </row>
    <row r="49" ht="22.5" customHeight="1">
      <c r="A49" s="7">
        <v>2022.0</v>
      </c>
      <c r="B49" s="7">
        <v>12.0</v>
      </c>
      <c r="C49" s="8" t="str">
        <f>DATE('MODELO 3'!$A49,'MODELO 3'!$B49,1)</f>
        <v>12/1/2022</v>
      </c>
      <c r="D49" s="7">
        <v>541.0</v>
      </c>
      <c r="E49" s="7">
        <v>3130014.0</v>
      </c>
      <c r="L49">
        <v>24.0</v>
      </c>
      <c r="M49">
        <v>566.5034171554956</v>
      </c>
      <c r="N49">
        <v>-76.50341715549564</v>
      </c>
      <c r="O49">
        <v>-0.7215237262898246</v>
      </c>
      <c r="Q49">
        <v>32.638888888888886</v>
      </c>
      <c r="R49">
        <v>502.0</v>
      </c>
    </row>
    <row r="50" ht="22.5" customHeight="1">
      <c r="A50" s="7">
        <v>2023.0</v>
      </c>
      <c r="B50" s="7">
        <v>1.0</v>
      </c>
      <c r="C50" s="8" t="str">
        <f>DATE('MODELO 3'!$A50,'MODELO 3'!$B50,1)</f>
        <v>1/1/2023</v>
      </c>
      <c r="D50" s="7">
        <v>496.0</v>
      </c>
      <c r="E50" s="7">
        <v>3167502.0</v>
      </c>
      <c r="L50">
        <v>25.0</v>
      </c>
      <c r="M50">
        <v>559.6605658491932</v>
      </c>
      <c r="N50">
        <v>-158.66056584919318</v>
      </c>
      <c r="O50">
        <v>-1.4963692726833766</v>
      </c>
      <c r="Q50">
        <v>34.02777777777777</v>
      </c>
      <c r="R50">
        <v>517.0</v>
      </c>
    </row>
    <row r="51" ht="22.5" customHeight="1">
      <c r="A51" s="7">
        <v>2023.0</v>
      </c>
      <c r="B51" s="7">
        <v>2.0</v>
      </c>
      <c r="C51" s="8" t="str">
        <f>DATE('MODELO 3'!$A51,'MODELO 3'!$B51,1)</f>
        <v>2/1/2023</v>
      </c>
      <c r="D51" s="7">
        <v>447.0</v>
      </c>
      <c r="E51" s="7">
        <v>3167502.0</v>
      </c>
      <c r="L51">
        <v>26.0</v>
      </c>
      <c r="M51">
        <v>559.6605658491932</v>
      </c>
      <c r="N51">
        <v>-137.66056584919318</v>
      </c>
      <c r="O51">
        <v>-1.298312782980578</v>
      </c>
      <c r="Q51">
        <v>35.416666666666664</v>
      </c>
      <c r="R51">
        <v>526.0</v>
      </c>
    </row>
    <row r="52" ht="22.5" customHeight="1">
      <c r="A52" s="7">
        <v>2023.0</v>
      </c>
      <c r="B52" s="7">
        <v>3.0</v>
      </c>
      <c r="C52" s="8" t="str">
        <f>DATE('MODELO 3'!$A52,'MODELO 3'!$B52,1)</f>
        <v>3/1/2023</v>
      </c>
      <c r="D52" s="7">
        <v>427.0</v>
      </c>
      <c r="E52" s="7">
        <v>3167502.0</v>
      </c>
      <c r="L52">
        <v>27.0</v>
      </c>
      <c r="M52">
        <v>559.6605658491932</v>
      </c>
      <c r="N52">
        <v>-74.66056584919318</v>
      </c>
      <c r="O52">
        <v>-0.7041433138721827</v>
      </c>
      <c r="Q52">
        <v>36.80555555555555</v>
      </c>
      <c r="R52">
        <v>527.0</v>
      </c>
    </row>
    <row r="53" ht="22.5" customHeight="1">
      <c r="A53" s="7">
        <v>2023.0</v>
      </c>
      <c r="B53" s="7">
        <v>4.0</v>
      </c>
      <c r="C53" s="8" t="str">
        <f>DATE('MODELO 3'!$A53,'MODELO 3'!$B53,1)</f>
        <v>4/1/2023</v>
      </c>
      <c r="D53" s="7">
        <v>582.0</v>
      </c>
      <c r="E53" s="7">
        <v>3167502.0</v>
      </c>
      <c r="L53">
        <v>28.0</v>
      </c>
      <c r="M53">
        <v>559.6605658491932</v>
      </c>
      <c r="N53">
        <v>-127.66056584919318</v>
      </c>
      <c r="O53">
        <v>-1.2040001688363884</v>
      </c>
      <c r="Q53">
        <v>38.19444444444444</v>
      </c>
      <c r="R53">
        <v>539.0</v>
      </c>
    </row>
    <row r="54" ht="22.5" customHeight="1">
      <c r="A54" s="7">
        <v>2023.0</v>
      </c>
      <c r="B54" s="7">
        <v>5.0</v>
      </c>
      <c r="C54" s="8" t="str">
        <f>DATE('MODELO 3'!$A54,'MODELO 3'!$B54,1)</f>
        <v>5/1/2023</v>
      </c>
      <c r="D54" s="7">
        <v>740.0</v>
      </c>
      <c r="E54" s="7">
        <v>3167502.0</v>
      </c>
      <c r="L54">
        <v>29.0</v>
      </c>
      <c r="M54">
        <v>559.6605658491932</v>
      </c>
      <c r="N54">
        <v>-147.66056584919318</v>
      </c>
      <c r="O54">
        <v>-1.3926253971247677</v>
      </c>
      <c r="Q54">
        <v>39.58333333333333</v>
      </c>
      <c r="R54">
        <v>541.0</v>
      </c>
    </row>
    <row r="55" ht="22.5" customHeight="1">
      <c r="A55" s="7">
        <v>2023.0</v>
      </c>
      <c r="B55" s="7">
        <v>6.0</v>
      </c>
      <c r="C55" s="8" t="str">
        <f>DATE('MODELO 3'!$A55,'MODELO 3'!$B55,1)</f>
        <v>6/1/2023</v>
      </c>
      <c r="D55" s="7">
        <v>724.0</v>
      </c>
      <c r="E55" s="7">
        <v>3167502.0</v>
      </c>
      <c r="L55">
        <v>30.0</v>
      </c>
      <c r="M55">
        <v>559.6605658491932</v>
      </c>
      <c r="N55">
        <v>-10.660565849193176</v>
      </c>
      <c r="O55">
        <v>-0.10054258334936826</v>
      </c>
      <c r="Q55">
        <v>40.97222222222222</v>
      </c>
      <c r="R55">
        <v>543.0</v>
      </c>
    </row>
    <row r="56" ht="22.5" customHeight="1">
      <c r="A56" s="7">
        <v>2023.0</v>
      </c>
      <c r="B56" s="7">
        <v>7.0</v>
      </c>
      <c r="C56" s="8" t="str">
        <f>DATE('MODELO 3'!$A56,'MODELO 3'!$B56,1)</f>
        <v>7/1/2023</v>
      </c>
      <c r="D56" s="7">
        <v>657.0</v>
      </c>
      <c r="E56" s="7">
        <v>3167502.0</v>
      </c>
      <c r="L56">
        <v>31.0</v>
      </c>
      <c r="M56">
        <v>559.6605658491932</v>
      </c>
      <c r="N56">
        <v>-32.660565849193176</v>
      </c>
      <c r="O56">
        <v>-0.30803033446658573</v>
      </c>
      <c r="Q56">
        <v>42.36111111111111</v>
      </c>
      <c r="R56">
        <v>549.0</v>
      </c>
    </row>
    <row r="57" ht="22.5" customHeight="1">
      <c r="A57" s="7">
        <v>2023.0</v>
      </c>
      <c r="B57" s="7">
        <v>8.0</v>
      </c>
      <c r="C57" s="8" t="str">
        <f>DATE('MODELO 3'!$A57,'MODELO 3'!$B57,1)</f>
        <v>8/1/2023</v>
      </c>
      <c r="D57" s="7">
        <v>625.0</v>
      </c>
      <c r="E57" s="7">
        <v>3167502.0</v>
      </c>
      <c r="L57">
        <v>32.0</v>
      </c>
      <c r="M57">
        <v>559.6605658491932</v>
      </c>
      <c r="N57">
        <v>71.33943415080682</v>
      </c>
      <c r="O57">
        <v>0.6728208526329877</v>
      </c>
      <c r="Q57">
        <v>43.75</v>
      </c>
      <c r="R57">
        <v>552.0</v>
      </c>
    </row>
    <row r="58" ht="22.5" customHeight="1">
      <c r="A58" s="7">
        <v>2023.0</v>
      </c>
      <c r="B58" s="7">
        <v>9.0</v>
      </c>
      <c r="C58" s="8" t="str">
        <f>DATE('MODELO 3'!$A58,'MODELO 3'!$B58,1)</f>
        <v>9/1/2023</v>
      </c>
      <c r="D58" s="7">
        <v>685.0</v>
      </c>
      <c r="E58" s="7">
        <v>3167502.0</v>
      </c>
      <c r="L58">
        <v>33.0</v>
      </c>
      <c r="M58">
        <v>559.6605658491932</v>
      </c>
      <c r="N58">
        <v>39.339434150806824</v>
      </c>
      <c r="O58">
        <v>0.3710204873715805</v>
      </c>
      <c r="Q58">
        <v>45.138888888888886</v>
      </c>
      <c r="R58">
        <v>557.0</v>
      </c>
    </row>
    <row r="59" ht="22.5" customHeight="1">
      <c r="A59" s="7">
        <v>2023.0</v>
      </c>
      <c r="B59" s="7">
        <v>10.0</v>
      </c>
      <c r="C59" s="8" t="str">
        <f>DATE('MODELO 3'!$A59,'MODELO 3'!$B59,1)</f>
        <v>10/1/2023</v>
      </c>
      <c r="D59" s="7">
        <v>658.0</v>
      </c>
      <c r="E59" s="7">
        <v>3167502.0</v>
      </c>
      <c r="L59">
        <v>34.0</v>
      </c>
      <c r="M59">
        <v>559.6605658491932</v>
      </c>
      <c r="N59">
        <v>-2.6605658491931763</v>
      </c>
      <c r="O59">
        <v>-0.025092492034016457</v>
      </c>
      <c r="Q59">
        <v>46.52777777777777</v>
      </c>
      <c r="R59">
        <v>562.0</v>
      </c>
    </row>
    <row r="60" ht="22.5" customHeight="1">
      <c r="A60" s="7">
        <v>2023.0</v>
      </c>
      <c r="B60" s="7">
        <v>11.0</v>
      </c>
      <c r="C60" s="8" t="str">
        <f>DATE('MODELO 3'!$A60,'MODELO 3'!$B60,1)</f>
        <v>11/1/2023</v>
      </c>
      <c r="D60" s="7">
        <v>632.0</v>
      </c>
      <c r="E60" s="7">
        <v>3167502.0</v>
      </c>
      <c r="L60">
        <v>35.0</v>
      </c>
      <c r="M60">
        <v>559.6605658491932</v>
      </c>
      <c r="N60">
        <v>53.339434150806824</v>
      </c>
      <c r="O60">
        <v>0.5030581471734461</v>
      </c>
      <c r="Q60">
        <v>47.916666666666664</v>
      </c>
      <c r="R60">
        <v>563.0</v>
      </c>
    </row>
    <row r="61" ht="22.5" customHeight="1">
      <c r="A61" s="7">
        <v>2023.0</v>
      </c>
      <c r="B61" s="7">
        <v>12.0</v>
      </c>
      <c r="C61" s="8" t="str">
        <f>DATE('MODELO 3'!$A61,'MODELO 3'!$B61,1)</f>
        <v>12/1/2023</v>
      </c>
      <c r="D61" s="7">
        <v>543.0</v>
      </c>
      <c r="E61" s="7">
        <v>3167502.0</v>
      </c>
      <c r="L61">
        <v>36.0</v>
      </c>
      <c r="M61">
        <v>559.6605658491932</v>
      </c>
      <c r="N61">
        <v>173.33943415080682</v>
      </c>
      <c r="O61">
        <v>1.6348095169037231</v>
      </c>
      <c r="Q61">
        <v>49.30555555555555</v>
      </c>
      <c r="R61">
        <v>563.0</v>
      </c>
    </row>
    <row r="62" ht="22.5" customHeight="1">
      <c r="A62" s="7">
        <v>2024.0</v>
      </c>
      <c r="B62" s="7">
        <v>1.0</v>
      </c>
      <c r="C62" s="8" t="str">
        <f>DATE('MODELO 3'!$A62,'MODELO 3'!$B62,1)</f>
        <v>1/1/2024</v>
      </c>
      <c r="D62" s="7">
        <v>502.0</v>
      </c>
      <c r="E62" s="7">
        <v>3204070.0</v>
      </c>
      <c r="L62">
        <v>37.0</v>
      </c>
      <c r="M62">
        <v>552.9530987843742</v>
      </c>
      <c r="N62">
        <v>-162.95309878437422</v>
      </c>
      <c r="O62">
        <v>-1.5368532729250721</v>
      </c>
      <c r="Q62">
        <v>50.69444444444444</v>
      </c>
      <c r="R62">
        <v>567.0</v>
      </c>
    </row>
    <row r="63" ht="22.5" customHeight="1">
      <c r="A63" s="7">
        <v>2024.0</v>
      </c>
      <c r="B63" s="7">
        <v>2.0</v>
      </c>
      <c r="C63" s="8" t="str">
        <f>DATE('MODELO 3'!$A63,'MODELO 3'!$B63,1)</f>
        <v>2/1/2024</v>
      </c>
      <c r="D63" s="7">
        <v>403.0</v>
      </c>
      <c r="E63" s="7">
        <v>3204070.0</v>
      </c>
      <c r="L63">
        <v>38.0</v>
      </c>
      <c r="M63">
        <v>552.9530987843742</v>
      </c>
      <c r="N63">
        <v>-71.95309878437422</v>
      </c>
      <c r="O63">
        <v>-0.6786084842129454</v>
      </c>
      <c r="Q63">
        <v>52.08333333333333</v>
      </c>
      <c r="R63">
        <v>573.0</v>
      </c>
    </row>
    <row r="64" ht="22.5" customHeight="1">
      <c r="A64" s="7">
        <v>2024.0</v>
      </c>
      <c r="B64" s="7">
        <v>3.0</v>
      </c>
      <c r="C64" s="8" t="str">
        <f>DATE('MODELO 3'!$A64,'MODELO 3'!$B64,1)</f>
        <v>3/1/2024</v>
      </c>
      <c r="D64" s="7">
        <v>427.0</v>
      </c>
      <c r="E64" s="7">
        <v>3204070.0</v>
      </c>
      <c r="L64">
        <v>39.0</v>
      </c>
      <c r="M64">
        <v>552.9530987843742</v>
      </c>
      <c r="N64">
        <v>-0.9530987843742196</v>
      </c>
      <c r="O64">
        <v>-0.008988923789198208</v>
      </c>
      <c r="Q64">
        <v>53.47222222222222</v>
      </c>
      <c r="R64">
        <v>574.0</v>
      </c>
    </row>
    <row r="65" ht="22.5" customHeight="1">
      <c r="A65" s="7">
        <v>2024.0</v>
      </c>
      <c r="B65" s="7">
        <v>4.0</v>
      </c>
      <c r="C65" s="8" t="str">
        <f>DATE('MODELO 3'!$A65,'MODELO 3'!$B65,1)</f>
        <v>4/1/2024</v>
      </c>
      <c r="D65" s="7">
        <v>567.0</v>
      </c>
      <c r="E65" s="7">
        <v>3204070.0</v>
      </c>
      <c r="L65">
        <v>40.0</v>
      </c>
      <c r="M65">
        <v>552.9530987843742</v>
      </c>
      <c r="N65">
        <v>-13.95309878437422</v>
      </c>
      <c r="O65">
        <v>-0.13159532217664488</v>
      </c>
      <c r="Q65">
        <v>54.86111111111111</v>
      </c>
      <c r="R65">
        <v>579.0</v>
      </c>
    </row>
    <row r="66" ht="22.5" customHeight="1">
      <c r="A66" s="7">
        <v>2024.0</v>
      </c>
      <c r="B66" s="7">
        <v>5.0</v>
      </c>
      <c r="C66" s="8" t="str">
        <f>DATE('MODELO 3'!$A66,'MODELO 3'!$B66,1)</f>
        <v>5/1/2024</v>
      </c>
      <c r="D66" s="7">
        <v>563.0</v>
      </c>
      <c r="E66" s="7">
        <v>3204070.0</v>
      </c>
      <c r="L66">
        <v>41.0</v>
      </c>
      <c r="M66">
        <v>552.9530987843742</v>
      </c>
      <c r="N66">
        <v>21.04690121562578</v>
      </c>
      <c r="O66">
        <v>0.19849882732801924</v>
      </c>
      <c r="Q66">
        <v>56.25</v>
      </c>
      <c r="R66">
        <v>582.0</v>
      </c>
    </row>
    <row r="67" ht="22.5" customHeight="1">
      <c r="A67" s="7">
        <v>2024.0</v>
      </c>
      <c r="B67" s="7">
        <v>6.0</v>
      </c>
      <c r="C67" s="8" t="str">
        <f>DATE('MODELO 3'!$A67,'MODELO 3'!$B67,1)</f>
        <v>6/1/2024</v>
      </c>
      <c r="D67" s="7">
        <v>573.0</v>
      </c>
      <c r="E67" s="7">
        <v>3204070.0</v>
      </c>
      <c r="L67">
        <v>42.0</v>
      </c>
      <c r="M67">
        <v>552.9530987843742</v>
      </c>
      <c r="N67">
        <v>205.04690121562578</v>
      </c>
      <c r="O67">
        <v>1.9338509275811107</v>
      </c>
      <c r="Q67">
        <v>57.638888888888886</v>
      </c>
      <c r="R67">
        <v>589.0</v>
      </c>
    </row>
    <row r="68" ht="22.5" customHeight="1">
      <c r="A68" s="7">
        <v>2024.0</v>
      </c>
      <c r="B68" s="7">
        <v>7.0</v>
      </c>
      <c r="C68" s="8" t="str">
        <f>DATE('MODELO 3'!$A68,'MODELO 3'!$B68,1)</f>
        <v>7/1/2024</v>
      </c>
      <c r="D68" s="7">
        <v>600.0</v>
      </c>
      <c r="E68" s="7">
        <v>3204070.0</v>
      </c>
      <c r="L68">
        <v>43.0</v>
      </c>
      <c r="M68">
        <v>552.9530987843742</v>
      </c>
      <c r="N68">
        <v>42.04690121562578</v>
      </c>
      <c r="O68">
        <v>0.3965553170308177</v>
      </c>
      <c r="Q68">
        <v>59.02777777777777</v>
      </c>
      <c r="R68">
        <v>590.0</v>
      </c>
    </row>
    <row r="69" ht="22.5" customHeight="1">
      <c r="A69" s="7">
        <v>2024.0</v>
      </c>
      <c r="B69" s="7">
        <v>8.0</v>
      </c>
      <c r="C69" s="8" t="str">
        <f>DATE('MODELO 3'!$A69,'MODELO 3'!$B69,1)</f>
        <v>8/1/2024</v>
      </c>
      <c r="D69" s="7">
        <v>677.0</v>
      </c>
      <c r="E69" s="7">
        <v>3204070.0</v>
      </c>
      <c r="L69">
        <v>44.0</v>
      </c>
      <c r="M69">
        <v>552.9530987843742</v>
      </c>
      <c r="N69">
        <v>9.04690121562578</v>
      </c>
      <c r="O69">
        <v>0.08532369035499154</v>
      </c>
      <c r="Q69">
        <v>60.416666666666664</v>
      </c>
      <c r="R69">
        <v>595.0</v>
      </c>
    </row>
    <row r="70" ht="22.5" customHeight="1">
      <c r="A70" s="7">
        <v>2024.0</v>
      </c>
      <c r="B70" s="7">
        <v>9.0</v>
      </c>
      <c r="C70" s="8" t="str">
        <f>DATE('MODELO 3'!$A70,'MODELO 3'!$B70,1)</f>
        <v>9/1/2024</v>
      </c>
      <c r="D70" s="7">
        <v>590.0</v>
      </c>
      <c r="E70" s="7">
        <v>3204070.0</v>
      </c>
      <c r="L70">
        <v>45.0</v>
      </c>
      <c r="M70">
        <v>552.9530987843742</v>
      </c>
      <c r="N70">
        <v>84.04690121562578</v>
      </c>
      <c r="O70">
        <v>0.7926682964364147</v>
      </c>
      <c r="Q70">
        <v>61.80555555555555</v>
      </c>
      <c r="R70">
        <v>597.0</v>
      </c>
    </row>
    <row r="71" ht="22.5" customHeight="1">
      <c r="A71" s="7">
        <v>2024.0</v>
      </c>
      <c r="B71" s="7">
        <v>10.0</v>
      </c>
      <c r="C71" s="8" t="str">
        <f>DATE('MODELO 3'!$A71,'MODELO 3'!$B71,1)</f>
        <v>10/1/2024</v>
      </c>
      <c r="D71" s="7">
        <v>428.0</v>
      </c>
      <c r="E71" s="7">
        <v>3204070.0</v>
      </c>
      <c r="L71">
        <v>46.0</v>
      </c>
      <c r="M71">
        <v>552.9530987843742</v>
      </c>
      <c r="N71">
        <v>49.04690121562578</v>
      </c>
      <c r="O71">
        <v>0.46257414693175053</v>
      </c>
      <c r="Q71">
        <v>63.19444444444444</v>
      </c>
      <c r="R71">
        <v>599.0</v>
      </c>
    </row>
    <row r="72" ht="22.5" customHeight="1">
      <c r="A72" s="7">
        <v>2024.0</v>
      </c>
      <c r="B72" s="7">
        <v>11.0</v>
      </c>
      <c r="C72" s="8" t="str">
        <f>DATE('MODELO 3'!$A72,'MODELO 3'!$B72,1)</f>
        <v>11/1/2024</v>
      </c>
      <c r="D72" s="7">
        <v>368.0</v>
      </c>
      <c r="E72" s="7">
        <v>3204070.0</v>
      </c>
      <c r="L72">
        <v>47.0</v>
      </c>
      <c r="M72">
        <v>552.9530987843742</v>
      </c>
      <c r="N72">
        <v>-122.95309878437422</v>
      </c>
      <c r="O72">
        <v>-1.1596028163483132</v>
      </c>
      <c r="Q72">
        <v>64.58333333333333</v>
      </c>
      <c r="R72">
        <v>600.0</v>
      </c>
    </row>
    <row r="73" ht="22.5" customHeight="1">
      <c r="A73" s="7">
        <v>2024.0</v>
      </c>
      <c r="B73" s="7">
        <v>12.0</v>
      </c>
      <c r="C73" s="8" t="str">
        <f>DATE('MODELO 3'!$A73,'MODELO 3'!$B73,1)</f>
        <v>12/1/2024</v>
      </c>
      <c r="D73" s="7">
        <v>607.0</v>
      </c>
      <c r="E73" s="7">
        <v>3204070.0</v>
      </c>
      <c r="L73">
        <v>48.0</v>
      </c>
      <c r="M73">
        <v>552.9530987843742</v>
      </c>
      <c r="N73">
        <v>-11.95309878437422</v>
      </c>
      <c r="O73">
        <v>-0.11273279934780693</v>
      </c>
      <c r="Q73">
        <v>65.97222222222221</v>
      </c>
      <c r="R73">
        <v>601.0</v>
      </c>
    </row>
    <row r="74" ht="15.75" customHeight="1">
      <c r="L74">
        <v>49.0</v>
      </c>
      <c r="M74">
        <v>546.3958837394963</v>
      </c>
      <c r="N74">
        <v>-50.3958837394963</v>
      </c>
      <c r="O74">
        <v>-0.47529675375785607</v>
      </c>
      <c r="Q74">
        <v>67.3611111111111</v>
      </c>
      <c r="R74">
        <v>602.0</v>
      </c>
    </row>
    <row r="75" ht="15.75" customHeight="1">
      <c r="L75">
        <v>50.0</v>
      </c>
      <c r="M75">
        <v>546.3958837394963</v>
      </c>
      <c r="N75">
        <v>-99.3958837394963</v>
      </c>
      <c r="O75">
        <v>-0.9374285630643858</v>
      </c>
      <c r="Q75">
        <v>68.75</v>
      </c>
      <c r="R75">
        <v>607.0</v>
      </c>
    </row>
    <row r="76" ht="15.75" customHeight="1">
      <c r="L76">
        <v>51.0</v>
      </c>
      <c r="M76">
        <v>546.3958837394963</v>
      </c>
      <c r="N76">
        <v>-119.3958837394963</v>
      </c>
      <c r="O76">
        <v>-1.1260537913527653</v>
      </c>
      <c r="Q76">
        <v>70.13888888888889</v>
      </c>
      <c r="R76">
        <v>612.0</v>
      </c>
    </row>
    <row r="77" ht="15.75" customHeight="1">
      <c r="L77">
        <v>52.0</v>
      </c>
      <c r="M77">
        <v>546.3958837394963</v>
      </c>
      <c r="N77">
        <v>35.6041162605037</v>
      </c>
      <c r="O77">
        <v>0.33579172788217576</v>
      </c>
      <c r="Q77">
        <v>71.52777777777777</v>
      </c>
      <c r="R77">
        <v>613.0</v>
      </c>
    </row>
    <row r="78" ht="15.75" customHeight="1">
      <c r="L78">
        <v>53.0</v>
      </c>
      <c r="M78">
        <v>546.3958837394963</v>
      </c>
      <c r="N78">
        <v>193.6041162605037</v>
      </c>
      <c r="O78">
        <v>1.8259310313603738</v>
      </c>
      <c r="Q78">
        <v>72.91666666666666</v>
      </c>
      <c r="R78">
        <v>614.0</v>
      </c>
    </row>
    <row r="79" ht="15.75" customHeight="1">
      <c r="L79">
        <v>54.0</v>
      </c>
      <c r="M79">
        <v>546.3958837394963</v>
      </c>
      <c r="N79">
        <v>177.6041162605037</v>
      </c>
      <c r="O79">
        <v>1.6750308487296701</v>
      </c>
      <c r="Q79">
        <v>74.30555555555556</v>
      </c>
      <c r="R79">
        <v>624.0</v>
      </c>
    </row>
    <row r="80" ht="15.75" customHeight="1">
      <c r="L80">
        <v>55.0</v>
      </c>
      <c r="M80">
        <v>546.3958837394963</v>
      </c>
      <c r="N80">
        <v>110.6041162605037</v>
      </c>
      <c r="O80">
        <v>1.0431363339635988</v>
      </c>
      <c r="Q80">
        <v>75.69444444444444</v>
      </c>
      <c r="R80">
        <v>625.0</v>
      </c>
    </row>
    <row r="81" ht="15.75" customHeight="1">
      <c r="L81">
        <v>56.0</v>
      </c>
      <c r="M81">
        <v>546.3958837394963</v>
      </c>
      <c r="N81">
        <v>78.6041162605037</v>
      </c>
      <c r="O81">
        <v>0.7413359687021916</v>
      </c>
      <c r="Q81">
        <v>77.08333333333333</v>
      </c>
      <c r="R81">
        <v>631.0</v>
      </c>
    </row>
    <row r="82" ht="15.75" customHeight="1">
      <c r="L82">
        <v>57.0</v>
      </c>
      <c r="M82">
        <v>546.3958837394963</v>
      </c>
      <c r="N82">
        <v>138.6041162605037</v>
      </c>
      <c r="O82">
        <v>1.3072116535673302</v>
      </c>
      <c r="Q82">
        <v>78.47222222222221</v>
      </c>
      <c r="R82">
        <v>632.0</v>
      </c>
    </row>
    <row r="83" ht="15.75" customHeight="1">
      <c r="L83">
        <v>58.0</v>
      </c>
      <c r="M83">
        <v>546.3958837394963</v>
      </c>
      <c r="N83">
        <v>111.6041162605037</v>
      </c>
      <c r="O83">
        <v>1.0525675953780178</v>
      </c>
      <c r="Q83">
        <v>79.8611111111111</v>
      </c>
      <c r="R83">
        <v>636.0</v>
      </c>
    </row>
    <row r="84" ht="15.75" customHeight="1">
      <c r="L84">
        <v>59.0</v>
      </c>
      <c r="M84">
        <v>546.3958837394963</v>
      </c>
      <c r="N84">
        <v>85.6041162605037</v>
      </c>
      <c r="O84">
        <v>0.8073547986031245</v>
      </c>
      <c r="Q84">
        <v>81.25</v>
      </c>
      <c r="R84">
        <v>637.0</v>
      </c>
    </row>
    <row r="85" ht="15.75" customHeight="1">
      <c r="L85">
        <v>60.0</v>
      </c>
      <c r="M85">
        <v>546.3958837394963</v>
      </c>
      <c r="N85">
        <v>-3.3958837394962984</v>
      </c>
      <c r="O85">
        <v>-0.03202746728016426</v>
      </c>
      <c r="Q85">
        <v>82.63888888888889</v>
      </c>
      <c r="R85">
        <v>657.0</v>
      </c>
    </row>
    <row r="86" ht="15.75" customHeight="1">
      <c r="L86">
        <v>61.0</v>
      </c>
      <c r="M86">
        <v>539.9995905320408</v>
      </c>
      <c r="N86">
        <v>-37.99959053204077</v>
      </c>
      <c r="O86">
        <v>-0.3583840719485567</v>
      </c>
      <c r="Q86">
        <v>84.02777777777777</v>
      </c>
      <c r="R86">
        <v>658.0</v>
      </c>
    </row>
    <row r="87" ht="15.75" customHeight="1">
      <c r="L87">
        <v>62.0</v>
      </c>
      <c r="M87">
        <v>539.9995905320408</v>
      </c>
      <c r="N87">
        <v>-136.99959053204077</v>
      </c>
      <c r="O87">
        <v>-1.2920789519760352</v>
      </c>
      <c r="Q87">
        <v>85.41666666666666</v>
      </c>
      <c r="R87">
        <v>670.0</v>
      </c>
    </row>
    <row r="88" ht="15.75" customHeight="1">
      <c r="L88">
        <v>63.0</v>
      </c>
      <c r="M88">
        <v>539.9995905320408</v>
      </c>
      <c r="N88">
        <v>-112.99959053204077</v>
      </c>
      <c r="O88">
        <v>-1.06572867802998</v>
      </c>
      <c r="Q88">
        <v>86.80555555555556</v>
      </c>
      <c r="R88">
        <v>677.0</v>
      </c>
    </row>
    <row r="89" ht="15.75" customHeight="1">
      <c r="L89">
        <v>64.0</v>
      </c>
      <c r="M89">
        <v>539.9995905320408</v>
      </c>
      <c r="N89">
        <v>27.00040946795923</v>
      </c>
      <c r="O89">
        <v>0.25464791998867664</v>
      </c>
      <c r="Q89">
        <v>88.19444444444444</v>
      </c>
      <c r="R89">
        <v>679.0</v>
      </c>
    </row>
    <row r="90" ht="15.75" customHeight="1">
      <c r="L90">
        <v>65.0</v>
      </c>
      <c r="M90">
        <v>539.9995905320408</v>
      </c>
      <c r="N90">
        <v>23.00040946795923</v>
      </c>
      <c r="O90">
        <v>0.21692287433100074</v>
      </c>
      <c r="Q90">
        <v>89.58333333333333</v>
      </c>
      <c r="R90">
        <v>685.0</v>
      </c>
    </row>
    <row r="91" ht="15.75" customHeight="1">
      <c r="L91">
        <v>66.0</v>
      </c>
      <c r="M91">
        <v>539.9995905320408</v>
      </c>
      <c r="N91">
        <v>33.00040946795923</v>
      </c>
      <c r="O91">
        <v>0.3112354884751905</v>
      </c>
      <c r="Q91">
        <v>90.97222222222221</v>
      </c>
      <c r="R91">
        <v>700.0</v>
      </c>
    </row>
    <row r="92" ht="15.75" customHeight="1">
      <c r="L92">
        <v>67.0</v>
      </c>
      <c r="M92">
        <v>539.9995905320408</v>
      </c>
      <c r="N92">
        <v>60.00040946795923</v>
      </c>
      <c r="O92">
        <v>0.5658795466645028</v>
      </c>
      <c r="Q92">
        <v>92.3611111111111</v>
      </c>
      <c r="R92">
        <v>724.0</v>
      </c>
    </row>
    <row r="93" ht="15.75" customHeight="1">
      <c r="L93">
        <v>68.0</v>
      </c>
      <c r="M93">
        <v>539.9995905320408</v>
      </c>
      <c r="N93">
        <v>137.00040946795923</v>
      </c>
      <c r="O93">
        <v>1.292086675574764</v>
      </c>
      <c r="Q93">
        <v>93.75</v>
      </c>
      <c r="R93">
        <v>733.0</v>
      </c>
    </row>
    <row r="94" ht="15.75" customHeight="1">
      <c r="L94">
        <v>69.0</v>
      </c>
      <c r="M94">
        <v>539.9995905320408</v>
      </c>
      <c r="N94">
        <v>50.00040946795923</v>
      </c>
      <c r="O94">
        <v>0.47156693252031306</v>
      </c>
      <c r="Q94">
        <v>95.13888888888889</v>
      </c>
      <c r="R94">
        <v>740.0</v>
      </c>
    </row>
    <row r="95" ht="15.75" customHeight="1">
      <c r="L95">
        <v>70.0</v>
      </c>
      <c r="M95">
        <v>539.9995905320408</v>
      </c>
      <c r="N95">
        <v>-111.99959053204077</v>
      </c>
      <c r="O95">
        <v>-1.056297416615561</v>
      </c>
      <c r="Q95">
        <v>96.52777777777777</v>
      </c>
      <c r="R95">
        <v>758.0</v>
      </c>
    </row>
    <row r="96" ht="15.75" customHeight="1">
      <c r="L96">
        <v>71.0</v>
      </c>
      <c r="M96">
        <v>539.9995905320408</v>
      </c>
      <c r="N96">
        <v>-171.99959053204077</v>
      </c>
      <c r="O96">
        <v>-1.6221731014806995</v>
      </c>
      <c r="Q96">
        <v>97.91666666666666</v>
      </c>
      <c r="R96">
        <v>763.0</v>
      </c>
    </row>
    <row r="97" ht="15.75" customHeight="1">
      <c r="L97" s="11">
        <v>72.0</v>
      </c>
      <c r="M97" s="11">
        <v>539.9995905320408</v>
      </c>
      <c r="N97" s="11">
        <v>67.00040946795923</v>
      </c>
      <c r="O97" s="11">
        <v>0.6318983765654357</v>
      </c>
      <c r="Q97" s="11">
        <v>99.30555555555556</v>
      </c>
      <c r="R97" s="11">
        <v>805.0</v>
      </c>
    </row>
    <row r="98" ht="15.75" customHeight="1"/>
    <row r="99" ht="15.75" customHeight="1"/>
    <row r="100" ht="15.75" customHeight="1"/>
  </sheetData>
  <mergeCells count="1">
    <mergeCell ref="L4:M4"/>
  </mergeCells>
  <dataValidations>
    <dataValidation type="custom" allowBlank="1" showDropDown="1" sqref="A2:D73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14"/>
    <col customWidth="1" min="4" max="4" width="11.71"/>
    <col customWidth="1" min="5" max="5" width="11.0"/>
    <col customWidth="1" min="6" max="6" width="9.71"/>
    <col customWidth="1" min="7" max="19" width="12.57"/>
  </cols>
  <sheetData>
    <row r="1" ht="22.5" customHeight="1">
      <c r="A1" s="6" t="s">
        <v>0</v>
      </c>
      <c r="B1" s="6" t="s">
        <v>2</v>
      </c>
      <c r="C1" s="6" t="s">
        <v>54</v>
      </c>
      <c r="D1" s="6" t="s">
        <v>4</v>
      </c>
      <c r="E1" s="6" t="s">
        <v>15</v>
      </c>
      <c r="F1" s="6" t="s">
        <v>23</v>
      </c>
    </row>
    <row r="2" ht="22.5" customHeight="1">
      <c r="A2" s="7">
        <v>2019.0</v>
      </c>
      <c r="B2" s="7">
        <v>1.0</v>
      </c>
      <c r="C2" s="8" t="str">
        <f>DATE('MODELO 4'!$A2,'MODELO 4'!$B2,1)</f>
        <v>1/1/2019</v>
      </c>
      <c r="D2" s="7">
        <v>589.0</v>
      </c>
      <c r="E2" s="7">
        <v>6.0</v>
      </c>
      <c r="F2" s="7">
        <v>0.0</v>
      </c>
      <c r="K2" t="s">
        <v>55</v>
      </c>
    </row>
    <row r="3" ht="22.5" customHeight="1">
      <c r="A3" s="7">
        <v>2019.0</v>
      </c>
      <c r="B3" s="7">
        <v>2.0</v>
      </c>
      <c r="C3" s="8" t="str">
        <f>DATE('MODELO 4'!$A3,'MODELO 4'!$B3,1)</f>
        <v>2/1/2019</v>
      </c>
      <c r="D3" s="7">
        <v>601.0</v>
      </c>
      <c r="E3" s="7">
        <v>6.0</v>
      </c>
      <c r="F3" s="7">
        <v>0.0</v>
      </c>
    </row>
    <row r="4" ht="22.5" customHeight="1">
      <c r="A4" s="7">
        <v>2019.0</v>
      </c>
      <c r="B4" s="7">
        <v>3.0</v>
      </c>
      <c r="C4" s="8" t="str">
        <f>DATE('MODELO 4'!$A4,'MODELO 4'!$B4,1)</f>
        <v>3/1/2019</v>
      </c>
      <c r="D4" s="7">
        <v>579.0</v>
      </c>
      <c r="E4" s="7">
        <v>6.0</v>
      </c>
      <c r="F4" s="7">
        <v>0.0</v>
      </c>
      <c r="K4" s="10" t="s">
        <v>56</v>
      </c>
      <c r="L4" s="12"/>
    </row>
    <row r="5" ht="22.5" customHeight="1">
      <c r="A5" s="7">
        <v>2019.0</v>
      </c>
      <c r="B5" s="7">
        <v>4.0</v>
      </c>
      <c r="C5" s="8" t="str">
        <f>DATE('MODELO 4'!$A5,'MODELO 4'!$B5,1)</f>
        <v>4/1/2019</v>
      </c>
      <c r="D5" s="7">
        <v>614.0</v>
      </c>
      <c r="E5" s="7">
        <v>6.0</v>
      </c>
      <c r="F5" s="7">
        <v>0.0</v>
      </c>
      <c r="K5" t="s">
        <v>57</v>
      </c>
      <c r="L5">
        <v>0.4726133447779263</v>
      </c>
    </row>
    <row r="6" ht="22.5" customHeight="1">
      <c r="A6" s="7">
        <v>2019.0</v>
      </c>
      <c r="B6" s="7">
        <v>5.0</v>
      </c>
      <c r="C6" s="8" t="str">
        <f>DATE('MODELO 4'!$A6,'MODELO 4'!$B6,1)</f>
        <v>5/1/2019</v>
      </c>
      <c r="D6" s="7">
        <v>670.0</v>
      </c>
      <c r="E6" s="7">
        <v>6.0</v>
      </c>
      <c r="F6" s="7">
        <v>0.0</v>
      </c>
      <c r="K6" t="s">
        <v>58</v>
      </c>
      <c r="L6" s="13">
        <v>0.22336337366217907</v>
      </c>
    </row>
    <row r="7" ht="22.5" customHeight="1">
      <c r="A7" s="7">
        <v>2019.0</v>
      </c>
      <c r="B7" s="7">
        <v>6.0</v>
      </c>
      <c r="C7" s="8" t="str">
        <f>DATE('MODELO 4'!$A7,'MODELO 4'!$B7,1)</f>
        <v>6/1/2019</v>
      </c>
      <c r="D7" s="7">
        <v>636.0</v>
      </c>
      <c r="E7" s="7">
        <v>6.0</v>
      </c>
      <c r="F7" s="7">
        <v>0.0</v>
      </c>
      <c r="K7" t="s">
        <v>59</v>
      </c>
      <c r="L7" s="13">
        <v>0.20487202541604047</v>
      </c>
    </row>
    <row r="8" ht="22.5" customHeight="1">
      <c r="A8" s="7">
        <v>2019.0</v>
      </c>
      <c r="B8" s="7">
        <v>7.0</v>
      </c>
      <c r="C8" s="8" t="str">
        <f>DATE('MODELO 4'!$A8,'MODELO 4'!$B8,1)</f>
        <v>7/1/2019</v>
      </c>
      <c r="D8" s="7">
        <v>763.0</v>
      </c>
      <c r="E8" s="7">
        <v>6.0</v>
      </c>
      <c r="F8" s="7">
        <v>0.0</v>
      </c>
      <c r="K8" t="s">
        <v>60</v>
      </c>
      <c r="L8">
        <v>94.05312445421589</v>
      </c>
    </row>
    <row r="9" ht="22.5" customHeight="1">
      <c r="A9" s="7">
        <v>2019.0</v>
      </c>
      <c r="B9" s="7">
        <v>8.0</v>
      </c>
      <c r="C9" s="8" t="str">
        <f>DATE('MODELO 4'!$A9,'MODELO 4'!$B9,1)</f>
        <v>8/1/2019</v>
      </c>
      <c r="D9" s="7">
        <v>805.0</v>
      </c>
      <c r="E9" s="7">
        <v>6.0</v>
      </c>
      <c r="F9" s="7">
        <v>0.0</v>
      </c>
      <c r="K9" s="11" t="s">
        <v>61</v>
      </c>
      <c r="L9" s="11">
        <v>87.0</v>
      </c>
    </row>
    <row r="10" ht="22.5" customHeight="1">
      <c r="A10" s="7">
        <v>2019.0</v>
      </c>
      <c r="B10" s="7">
        <v>9.0</v>
      </c>
      <c r="C10" s="8" t="str">
        <f>DATE('MODELO 4'!$A10,'MODELO 4'!$B10,1)</f>
        <v>9/1/2019</v>
      </c>
      <c r="D10" s="7">
        <v>612.0</v>
      </c>
      <c r="E10" s="7">
        <v>6.0</v>
      </c>
      <c r="F10" s="7">
        <v>0.0</v>
      </c>
    </row>
    <row r="11" ht="22.5" customHeight="1">
      <c r="A11" s="7">
        <v>2019.0</v>
      </c>
      <c r="B11" s="7">
        <v>10.0</v>
      </c>
      <c r="C11" s="8" t="str">
        <f>DATE('MODELO 4'!$A11,'MODELO 4'!$B11,1)</f>
        <v>10/1/2019</v>
      </c>
      <c r="D11" s="7">
        <v>679.0</v>
      </c>
      <c r="E11" s="7">
        <v>7.0</v>
      </c>
      <c r="F11" s="7">
        <v>0.0</v>
      </c>
      <c r="K11" t="s">
        <v>62</v>
      </c>
    </row>
    <row r="12" ht="22.5" customHeight="1">
      <c r="A12" s="7">
        <v>2019.0</v>
      </c>
      <c r="B12" s="7">
        <v>11.0</v>
      </c>
      <c r="C12" s="8" t="str">
        <f>DATE('MODELO 4'!$A12,'MODELO 4'!$B12,1)</f>
        <v>11/1/2019</v>
      </c>
      <c r="D12" s="7">
        <v>624.0</v>
      </c>
      <c r="E12" s="7">
        <v>7.0</v>
      </c>
      <c r="F12" s="7">
        <v>0.0</v>
      </c>
      <c r="K12" s="10"/>
      <c r="L12" s="10" t="s">
        <v>63</v>
      </c>
      <c r="M12" s="10" t="s">
        <v>64</v>
      </c>
      <c r="N12" s="10" t="s">
        <v>65</v>
      </c>
      <c r="O12" s="10" t="s">
        <v>66</v>
      </c>
      <c r="P12" s="10" t="s">
        <v>67</v>
      </c>
    </row>
    <row r="13" ht="22.5" customHeight="1">
      <c r="A13" s="7">
        <v>2019.0</v>
      </c>
      <c r="B13" s="7">
        <v>12.0</v>
      </c>
      <c r="C13" s="8" t="str">
        <f>DATE('MODELO 4'!$A13,'MODELO 4'!$B13,1)</f>
        <v>12/1/2019</v>
      </c>
      <c r="D13" s="7">
        <v>700.0</v>
      </c>
      <c r="E13" s="7">
        <v>7.0</v>
      </c>
      <c r="F13" s="7">
        <v>0.0</v>
      </c>
      <c r="K13" t="s">
        <v>68</v>
      </c>
      <c r="L13">
        <v>2.0</v>
      </c>
      <c r="M13">
        <v>213707.53419725923</v>
      </c>
      <c r="N13">
        <v>106853.76709862961</v>
      </c>
      <c r="O13">
        <v>12.079344928719427</v>
      </c>
      <c r="P13" s="15">
        <v>2.4499118621625865E-5</v>
      </c>
    </row>
    <row r="14" ht="22.5" customHeight="1">
      <c r="A14" s="7">
        <v>2020.0</v>
      </c>
      <c r="B14" s="7">
        <v>1.0</v>
      </c>
      <c r="C14" s="8" t="str">
        <f>DATE('MODELO 4'!$A14,'MODELO 4'!$B14,1)</f>
        <v>1/1/2020</v>
      </c>
      <c r="D14" s="7">
        <v>597.0</v>
      </c>
      <c r="E14" s="7">
        <v>7.0</v>
      </c>
      <c r="F14" s="7">
        <v>0.0</v>
      </c>
      <c r="K14" t="s">
        <v>69</v>
      </c>
      <c r="L14">
        <v>84.0</v>
      </c>
      <c r="M14">
        <v>743063.1784464188</v>
      </c>
      <c r="N14">
        <v>8845.990219600224</v>
      </c>
    </row>
    <row r="15" ht="22.5" customHeight="1">
      <c r="A15" s="7">
        <v>2020.0</v>
      </c>
      <c r="B15" s="7">
        <v>2.0</v>
      </c>
      <c r="C15" s="8" t="str">
        <f>DATE('MODELO 4'!$A15,'MODELO 4'!$B15,1)</f>
        <v>2/1/2020</v>
      </c>
      <c r="D15" s="7">
        <v>526.0</v>
      </c>
      <c r="E15" s="7">
        <v>7.0</v>
      </c>
      <c r="F15" s="7">
        <v>0.0</v>
      </c>
      <c r="K15" s="11" t="s">
        <v>70</v>
      </c>
      <c r="L15" s="11">
        <v>86.0</v>
      </c>
      <c r="M15" s="11">
        <v>956770.7126436781</v>
      </c>
      <c r="N15" s="11"/>
      <c r="O15" s="11"/>
      <c r="P15" s="11"/>
    </row>
    <row r="16" ht="22.5" customHeight="1">
      <c r="A16" s="7">
        <v>2020.0</v>
      </c>
      <c r="B16" s="7">
        <v>3.0</v>
      </c>
      <c r="C16" s="8" t="str">
        <f>DATE('MODELO 4'!$A16,'MODELO 4'!$B16,1)</f>
        <v>3/1/2020</v>
      </c>
      <c r="D16" s="7">
        <v>563.0</v>
      </c>
      <c r="E16" s="7">
        <v>7.0</v>
      </c>
      <c r="F16" s="7">
        <v>0.0</v>
      </c>
    </row>
    <row r="17" ht="22.5" customHeight="1">
      <c r="A17" s="7">
        <v>2020.0</v>
      </c>
      <c r="B17" s="7">
        <v>4.0</v>
      </c>
      <c r="C17" s="8" t="str">
        <f>DATE('MODELO 4'!$A17,'MODELO 4'!$B17,1)</f>
        <v>4/1/2020</v>
      </c>
      <c r="D17" s="7">
        <v>340.0</v>
      </c>
      <c r="E17" s="7">
        <v>7.0</v>
      </c>
      <c r="F17" s="7">
        <v>1.0</v>
      </c>
      <c r="K17" s="10"/>
      <c r="L17" s="10" t="s">
        <v>71</v>
      </c>
      <c r="M17" s="10" t="s">
        <v>60</v>
      </c>
      <c r="N17" s="10" t="s">
        <v>72</v>
      </c>
      <c r="O17" s="10" t="s">
        <v>73</v>
      </c>
      <c r="P17" s="10" t="s">
        <v>74</v>
      </c>
      <c r="Q17" s="10" t="s">
        <v>75</v>
      </c>
      <c r="R17" s="10" t="s">
        <v>76</v>
      </c>
      <c r="S17" s="10" t="s">
        <v>77</v>
      </c>
    </row>
    <row r="18" ht="22.5" customHeight="1">
      <c r="A18" s="7">
        <v>2020.0</v>
      </c>
      <c r="B18" s="7">
        <v>5.0</v>
      </c>
      <c r="C18" s="8" t="str">
        <f>DATE('MODELO 4'!$A18,'MODELO 4'!$B18,1)</f>
        <v>5/1/2020</v>
      </c>
      <c r="D18" s="7">
        <v>448.0</v>
      </c>
      <c r="E18" s="7">
        <v>7.0</v>
      </c>
      <c r="F18" s="7">
        <v>1.0</v>
      </c>
      <c r="K18" t="s">
        <v>78</v>
      </c>
      <c r="L18">
        <v>509.704900376952</v>
      </c>
      <c r="M18">
        <v>45.311236168608986</v>
      </c>
      <c r="N18">
        <v>11.24897362058881</v>
      </c>
      <c r="O18">
        <v>1.9297344660893787E-18</v>
      </c>
      <c r="P18">
        <v>419.5985381094368</v>
      </c>
      <c r="Q18">
        <v>599.8112626444673</v>
      </c>
      <c r="R18">
        <v>419.5985381094368</v>
      </c>
      <c r="S18">
        <v>599.8112626444673</v>
      </c>
    </row>
    <row r="19" ht="22.5" customHeight="1">
      <c r="A19" s="7">
        <v>2020.0</v>
      </c>
      <c r="B19" s="7">
        <v>6.0</v>
      </c>
      <c r="C19" s="8" t="str">
        <f>DATE('MODELO 4'!$A19,'MODELO 4'!$B19,1)</f>
        <v>6/1/2020</v>
      </c>
      <c r="D19" s="7">
        <v>486.0</v>
      </c>
      <c r="E19" s="7">
        <v>7.0</v>
      </c>
      <c r="F19" s="7">
        <v>1.0</v>
      </c>
      <c r="K19" t="s">
        <v>15</v>
      </c>
      <c r="L19">
        <v>19.921109316101262</v>
      </c>
      <c r="M19">
        <v>5.977201644379891</v>
      </c>
      <c r="N19">
        <v>3.3328487980378303</v>
      </c>
      <c r="O19" s="15">
        <v>0.0012800227535701351</v>
      </c>
      <c r="P19">
        <v>8.034788344624301</v>
      </c>
      <c r="Q19">
        <v>31.80743028757822</v>
      </c>
      <c r="R19">
        <v>8.034788344624301</v>
      </c>
      <c r="S19">
        <v>31.80743028757822</v>
      </c>
    </row>
    <row r="20" ht="22.5" customHeight="1">
      <c r="A20" s="7">
        <v>2020.0</v>
      </c>
      <c r="B20" s="7">
        <v>7.0</v>
      </c>
      <c r="C20" s="8" t="str">
        <f>DATE('MODELO 4'!$A20,'MODELO 4'!$B20,1)</f>
        <v>7/1/2020</v>
      </c>
      <c r="D20" s="7">
        <v>517.0</v>
      </c>
      <c r="E20" s="7">
        <v>7.0</v>
      </c>
      <c r="F20" s="7">
        <v>1.0</v>
      </c>
      <c r="K20" s="11" t="s">
        <v>23</v>
      </c>
      <c r="L20" s="11">
        <v>-174.7924744211095</v>
      </c>
      <c r="M20" s="11">
        <v>35.57146478858969</v>
      </c>
      <c r="N20" s="11">
        <v>-4.91383965939963</v>
      </c>
      <c r="O20" s="16">
        <v>4.358245273930886E-6</v>
      </c>
      <c r="P20" s="11">
        <v>-245.53023316818502</v>
      </c>
      <c r="Q20" s="11">
        <v>-104.05471567403396</v>
      </c>
      <c r="R20" s="11">
        <v>-245.53023316818502</v>
      </c>
      <c r="S20" s="11">
        <v>-104.05471567403396</v>
      </c>
    </row>
    <row r="21" ht="22.5" customHeight="1">
      <c r="A21" s="7">
        <v>2020.0</v>
      </c>
      <c r="B21" s="7">
        <v>8.0</v>
      </c>
      <c r="C21" s="8" t="str">
        <f>DATE('MODELO 4'!$A21,'MODELO 4'!$B21,1)</f>
        <v>8/1/2020</v>
      </c>
      <c r="D21" s="7">
        <v>402.0</v>
      </c>
      <c r="E21" s="7">
        <v>7.0</v>
      </c>
      <c r="F21" s="7">
        <v>1.0</v>
      </c>
    </row>
    <row r="22" ht="22.5" customHeight="1">
      <c r="A22" s="7">
        <v>2020.0</v>
      </c>
      <c r="B22" s="7">
        <v>9.0</v>
      </c>
      <c r="C22" s="8" t="str">
        <f>DATE('MODELO 4'!$A22,'MODELO 4'!$B22,1)</f>
        <v>9/1/2020</v>
      </c>
      <c r="D22" s="7">
        <v>406.0</v>
      </c>
      <c r="E22" s="7">
        <v>7.0</v>
      </c>
      <c r="F22" s="7">
        <v>1.0</v>
      </c>
    </row>
    <row r="23" ht="22.5" customHeight="1">
      <c r="A23" s="7">
        <v>2020.0</v>
      </c>
      <c r="B23" s="7">
        <v>10.0</v>
      </c>
      <c r="C23" s="8" t="str">
        <f>DATE('MODELO 4'!$A23,'MODELO 4'!$B23,1)</f>
        <v>10/1/2020</v>
      </c>
      <c r="D23" s="7">
        <v>456.0</v>
      </c>
      <c r="E23" s="7">
        <v>7.0</v>
      </c>
      <c r="F23" s="7">
        <v>1.0</v>
      </c>
    </row>
    <row r="24" ht="22.5" customHeight="1">
      <c r="A24" s="7">
        <v>2020.0</v>
      </c>
      <c r="B24" s="7">
        <v>11.0</v>
      </c>
      <c r="C24" s="8" t="str">
        <f>DATE('MODELO 4'!$A24,'MODELO 4'!$B24,1)</f>
        <v>11/1/2020</v>
      </c>
      <c r="D24" s="7">
        <v>417.0</v>
      </c>
      <c r="E24" s="7">
        <v>8.0</v>
      </c>
      <c r="F24" s="7">
        <v>1.0</v>
      </c>
      <c r="K24" t="s">
        <v>79</v>
      </c>
    </row>
    <row r="25" ht="22.5" customHeight="1">
      <c r="A25" s="7">
        <v>2020.0</v>
      </c>
      <c r="B25" s="7">
        <v>12.0</v>
      </c>
      <c r="C25" s="8" t="str">
        <f>DATE('MODELO 4'!$A25,'MODELO 4'!$B25,1)</f>
        <v>12/1/2020</v>
      </c>
      <c r="D25" s="7">
        <v>490.0</v>
      </c>
      <c r="E25" s="7">
        <v>8.0</v>
      </c>
      <c r="F25" s="7">
        <v>1.0</v>
      </c>
    </row>
    <row r="26" ht="22.5" customHeight="1">
      <c r="A26" s="7">
        <v>2021.0</v>
      </c>
      <c r="B26" s="7">
        <v>1.0</v>
      </c>
      <c r="C26" s="8" t="str">
        <f>DATE('MODELO 4'!$A26,'MODELO 4'!$B26,1)</f>
        <v>1/1/2021</v>
      </c>
      <c r="D26" s="7">
        <v>401.0</v>
      </c>
      <c r="E26" s="7">
        <v>8.0</v>
      </c>
      <c r="F26" s="7">
        <v>1.0</v>
      </c>
      <c r="K26" s="10" t="s">
        <v>81</v>
      </c>
      <c r="L26" s="10" t="s">
        <v>82</v>
      </c>
      <c r="M26" s="10" t="s">
        <v>83</v>
      </c>
      <c r="N26" s="10" t="s">
        <v>84</v>
      </c>
    </row>
    <row r="27" ht="22.5" customHeight="1">
      <c r="A27" s="7">
        <v>2021.0</v>
      </c>
      <c r="B27" s="7">
        <v>2.0</v>
      </c>
      <c r="C27" s="8" t="str">
        <f>DATE('MODELO 4'!$A27,'MODELO 4'!$B27,1)</f>
        <v>2/1/2021</v>
      </c>
      <c r="D27" s="7">
        <v>422.0</v>
      </c>
      <c r="E27" s="7">
        <v>8.0</v>
      </c>
      <c r="F27" s="7">
        <v>1.0</v>
      </c>
      <c r="K27">
        <v>1.0</v>
      </c>
      <c r="L27">
        <v>629.2315562735596</v>
      </c>
      <c r="M27">
        <v>-40.23155627355959</v>
      </c>
      <c r="N27">
        <v>-0.43281588118324044</v>
      </c>
    </row>
    <row r="28" ht="22.5" customHeight="1">
      <c r="A28" s="7">
        <v>2021.0</v>
      </c>
      <c r="B28" s="7">
        <v>3.0</v>
      </c>
      <c r="C28" s="8" t="str">
        <f>DATE('MODELO 4'!$A28,'MODELO 4'!$B28,1)</f>
        <v>3/1/2021</v>
      </c>
      <c r="D28" s="7">
        <v>485.0</v>
      </c>
      <c r="E28" s="7">
        <v>8.0</v>
      </c>
      <c r="F28" s="7">
        <v>1.0</v>
      </c>
      <c r="K28">
        <v>2.0</v>
      </c>
      <c r="L28">
        <v>629.2315562735596</v>
      </c>
      <c r="M28">
        <v>-28.23155627355959</v>
      </c>
      <c r="N28">
        <v>-0.3037184498315163</v>
      </c>
    </row>
    <row r="29" ht="22.5" customHeight="1">
      <c r="A29" s="7">
        <v>2021.0</v>
      </c>
      <c r="B29" s="7">
        <v>4.0</v>
      </c>
      <c r="C29" s="8" t="str">
        <f>DATE('MODELO 4'!$A29,'MODELO 4'!$B29,1)</f>
        <v>4/1/2021</v>
      </c>
      <c r="D29" s="7">
        <v>432.0</v>
      </c>
      <c r="E29" s="7">
        <v>8.0</v>
      </c>
      <c r="F29" s="7">
        <v>1.0</v>
      </c>
      <c r="K29">
        <v>3.0</v>
      </c>
      <c r="L29">
        <v>629.2315562735596</v>
      </c>
      <c r="M29">
        <v>-50.23155627355959</v>
      </c>
      <c r="N29">
        <v>-0.5403970739763438</v>
      </c>
    </row>
    <row r="30" ht="22.5" customHeight="1">
      <c r="A30" s="7">
        <v>2021.0</v>
      </c>
      <c r="B30" s="7">
        <v>5.0</v>
      </c>
      <c r="C30" s="8" t="str">
        <f>DATE('MODELO 4'!$A30,'MODELO 4'!$B30,1)</f>
        <v>5/1/2021</v>
      </c>
      <c r="D30" s="7">
        <v>412.0</v>
      </c>
      <c r="E30" s="7">
        <v>8.0</v>
      </c>
      <c r="F30" s="7">
        <v>1.0</v>
      </c>
      <c r="K30">
        <v>4.0</v>
      </c>
      <c r="L30">
        <v>629.2315562735596</v>
      </c>
      <c r="M30">
        <v>-15.23155627355959</v>
      </c>
      <c r="N30">
        <v>-0.16386289920048186</v>
      </c>
    </row>
    <row r="31" ht="22.5" customHeight="1">
      <c r="A31" s="7">
        <v>2021.0</v>
      </c>
      <c r="B31" s="7">
        <v>6.0</v>
      </c>
      <c r="C31" s="8" t="str">
        <f>DATE('MODELO 4'!$A31,'MODELO 4'!$B31,1)</f>
        <v>6/1/2021</v>
      </c>
      <c r="D31" s="7">
        <v>549.0</v>
      </c>
      <c r="E31" s="7">
        <v>8.0</v>
      </c>
      <c r="F31" s="7">
        <v>1.0</v>
      </c>
      <c r="K31">
        <v>5.0</v>
      </c>
      <c r="L31">
        <v>629.2315562735596</v>
      </c>
      <c r="M31">
        <v>40.76844372644041</v>
      </c>
      <c r="N31">
        <v>0.4385917804408974</v>
      </c>
    </row>
    <row r="32" ht="22.5" customHeight="1">
      <c r="A32" s="7">
        <v>2021.0</v>
      </c>
      <c r="B32" s="7">
        <v>7.0</v>
      </c>
      <c r="C32" s="8" t="str">
        <f>DATE('MODELO 4'!$A32,'MODELO 4'!$B32,1)</f>
        <v>7/1/2021</v>
      </c>
      <c r="D32" s="7">
        <v>527.0</v>
      </c>
      <c r="E32" s="7">
        <v>8.0</v>
      </c>
      <c r="F32" s="7">
        <v>1.0</v>
      </c>
      <c r="K32">
        <v>6.0</v>
      </c>
      <c r="L32">
        <v>629.2315562735596</v>
      </c>
      <c r="M32">
        <v>6.76844372644041</v>
      </c>
      <c r="N32">
        <v>0.07281572494434571</v>
      </c>
    </row>
    <row r="33" ht="22.5" customHeight="1">
      <c r="A33" s="7">
        <v>2021.0</v>
      </c>
      <c r="B33" s="7">
        <v>8.0</v>
      </c>
      <c r="C33" s="8" t="str">
        <f>DATE('MODELO 4'!$A33,'MODELO 4'!$B33,1)</f>
        <v>8/1/2021</v>
      </c>
      <c r="D33" s="7">
        <v>631.0</v>
      </c>
      <c r="E33" s="7">
        <v>8.0</v>
      </c>
      <c r="F33" s="7">
        <v>1.0</v>
      </c>
      <c r="K33">
        <v>7.0</v>
      </c>
      <c r="L33">
        <v>629.2315562735596</v>
      </c>
      <c r="M33">
        <v>133.7684437264404</v>
      </c>
      <c r="N33">
        <v>1.4390968734167593</v>
      </c>
    </row>
    <row r="34" ht="22.5" customHeight="1">
      <c r="A34" s="7">
        <v>2021.0</v>
      </c>
      <c r="B34" s="7">
        <v>9.0</v>
      </c>
      <c r="C34" s="8" t="str">
        <f>DATE('MODELO 4'!$A34,'MODELO 4'!$B34,1)</f>
        <v>9/1/2021</v>
      </c>
      <c r="D34" s="7">
        <v>599.0</v>
      </c>
      <c r="E34" s="7">
        <v>8.0</v>
      </c>
      <c r="F34" s="7">
        <v>1.0</v>
      </c>
      <c r="K34">
        <v>8.0</v>
      </c>
      <c r="L34">
        <v>629.2315562735596</v>
      </c>
      <c r="M34">
        <v>175.7684437264404</v>
      </c>
      <c r="N34">
        <v>1.8909378831477939</v>
      </c>
    </row>
    <row r="35" ht="22.5" customHeight="1">
      <c r="A35" s="7">
        <v>2021.0</v>
      </c>
      <c r="B35" s="7">
        <v>10.0</v>
      </c>
      <c r="C35" s="8" t="str">
        <f>DATE('MODELO 4'!$A35,'MODELO 4'!$B35,1)</f>
        <v>10/1/2021</v>
      </c>
      <c r="D35" s="7">
        <v>557.0</v>
      </c>
      <c r="E35" s="7">
        <v>9.0</v>
      </c>
      <c r="F35" s="7">
        <v>1.0</v>
      </c>
      <c r="K35">
        <v>9.0</v>
      </c>
      <c r="L35">
        <v>629.2315562735596</v>
      </c>
      <c r="M35">
        <v>-17.23155627355959</v>
      </c>
      <c r="N35">
        <v>-0.18537913775910253</v>
      </c>
    </row>
    <row r="36" ht="22.5" customHeight="1">
      <c r="A36" s="7">
        <v>2021.0</v>
      </c>
      <c r="B36" s="7">
        <v>11.0</v>
      </c>
      <c r="C36" s="8" t="str">
        <f>DATE('MODELO 4'!$A36,'MODELO 4'!$B36,1)</f>
        <v>11/1/2021</v>
      </c>
      <c r="D36" s="7">
        <v>613.0</v>
      </c>
      <c r="E36" s="7">
        <v>9.0</v>
      </c>
      <c r="F36" s="7">
        <v>1.0</v>
      </c>
      <c r="K36">
        <v>10.0</v>
      </c>
      <c r="L36">
        <v>649.1526655896608</v>
      </c>
      <c r="M36">
        <v>29.84733441033916</v>
      </c>
      <c r="N36">
        <v>0.32110118375589275</v>
      </c>
    </row>
    <row r="37" ht="22.5" customHeight="1">
      <c r="A37" s="7">
        <v>2021.0</v>
      </c>
      <c r="B37" s="7">
        <v>12.0</v>
      </c>
      <c r="C37" s="8" t="str">
        <f>DATE('MODELO 4'!$A37,'MODELO 4'!$B37,1)</f>
        <v>12/1/2021</v>
      </c>
      <c r="D37" s="7">
        <v>733.0</v>
      </c>
      <c r="E37" s="7">
        <v>9.0</v>
      </c>
      <c r="F37" s="7">
        <v>1.0</v>
      </c>
      <c r="K37">
        <v>11.0</v>
      </c>
      <c r="L37">
        <v>649.1526655896608</v>
      </c>
      <c r="M37">
        <v>-25.15266558966084</v>
      </c>
      <c r="N37">
        <v>-0.27059537660617616</v>
      </c>
    </row>
    <row r="38" ht="22.5" customHeight="1">
      <c r="A38" s="7">
        <v>2022.0</v>
      </c>
      <c r="B38" s="7">
        <v>1.0</v>
      </c>
      <c r="C38" s="8" t="str">
        <f>DATE('MODELO 4'!$A38,'MODELO 4'!$B38,1)</f>
        <v>1/1/2022</v>
      </c>
      <c r="D38" s="7">
        <v>390.0</v>
      </c>
      <c r="E38" s="7">
        <v>9.0</v>
      </c>
      <c r="F38" s="7">
        <v>1.0</v>
      </c>
      <c r="K38">
        <v>12.0</v>
      </c>
      <c r="L38">
        <v>649.1526655896608</v>
      </c>
      <c r="M38">
        <v>50.84733441033916</v>
      </c>
      <c r="N38">
        <v>0.54702168862141</v>
      </c>
    </row>
    <row r="39" ht="22.5" customHeight="1">
      <c r="A39" s="7">
        <v>2022.0</v>
      </c>
      <c r="B39" s="7">
        <v>2.0</v>
      </c>
      <c r="C39" s="8" t="str">
        <f>DATE('MODELO 4'!$A39,'MODELO 4'!$B39,1)</f>
        <v>2/1/2022</v>
      </c>
      <c r="D39" s="7">
        <v>481.0</v>
      </c>
      <c r="E39" s="7">
        <v>9.0</v>
      </c>
      <c r="F39" s="7">
        <v>1.0</v>
      </c>
      <c r="K39">
        <v>13.0</v>
      </c>
      <c r="L39">
        <v>649.1526655896608</v>
      </c>
      <c r="M39">
        <v>-52.15266558966084</v>
      </c>
      <c r="N39">
        <v>-0.5610645971475555</v>
      </c>
    </row>
    <row r="40" ht="22.5" customHeight="1">
      <c r="A40" s="7">
        <v>2022.0</v>
      </c>
      <c r="B40" s="7">
        <v>3.0</v>
      </c>
      <c r="C40" s="8" t="str">
        <f>DATE('MODELO 4'!$A40,'MODELO 4'!$B40,1)</f>
        <v>3/1/2022</v>
      </c>
      <c r="D40" s="7">
        <v>552.0</v>
      </c>
      <c r="E40" s="7">
        <v>10.0</v>
      </c>
      <c r="F40" s="7">
        <v>1.0</v>
      </c>
      <c r="K40">
        <v>14.0</v>
      </c>
      <c r="L40">
        <v>649.1526655896608</v>
      </c>
      <c r="M40">
        <v>-123.15266558966084</v>
      </c>
      <c r="N40">
        <v>-1.32489106597859</v>
      </c>
    </row>
    <row r="41" ht="22.5" customHeight="1">
      <c r="A41" s="7">
        <v>2022.0</v>
      </c>
      <c r="B41" s="7">
        <v>4.0</v>
      </c>
      <c r="C41" s="8" t="str">
        <f>DATE('MODELO 4'!$A41,'MODELO 4'!$B41,1)</f>
        <v>4/1/2022</v>
      </c>
      <c r="D41" s="7">
        <v>539.0</v>
      </c>
      <c r="E41" s="7">
        <v>10.0</v>
      </c>
      <c r="F41" s="7">
        <v>1.0</v>
      </c>
      <c r="K41">
        <v>15.0</v>
      </c>
      <c r="L41">
        <v>649.1526655896608</v>
      </c>
      <c r="M41">
        <v>-86.15266558966084</v>
      </c>
      <c r="N41">
        <v>-0.9268406526441072</v>
      </c>
    </row>
    <row r="42" ht="22.5" customHeight="1">
      <c r="A42" s="7">
        <v>2022.0</v>
      </c>
      <c r="B42" s="7">
        <v>5.0</v>
      </c>
      <c r="C42" s="8" t="str">
        <f>DATE('MODELO 4'!$A42,'MODELO 4'!$B42,1)</f>
        <v>5/1/2022</v>
      </c>
      <c r="D42" s="7">
        <v>574.0</v>
      </c>
      <c r="E42" s="7">
        <v>10.0</v>
      </c>
      <c r="F42" s="7">
        <v>1.0</v>
      </c>
      <c r="K42">
        <v>16.0</v>
      </c>
      <c r="L42">
        <v>474.36019116855135</v>
      </c>
      <c r="M42">
        <v>-134.36019116855135</v>
      </c>
      <c r="N42">
        <v>-1.4454629629822158</v>
      </c>
    </row>
    <row r="43" ht="22.5" customHeight="1">
      <c r="A43" s="7">
        <v>2022.0</v>
      </c>
      <c r="B43" s="7">
        <v>6.0</v>
      </c>
      <c r="C43" s="8" t="str">
        <f>DATE('MODELO 4'!$A43,'MODELO 4'!$B43,1)</f>
        <v>6/1/2022</v>
      </c>
      <c r="D43" s="7">
        <v>758.0</v>
      </c>
      <c r="E43" s="7">
        <v>10.0</v>
      </c>
      <c r="F43" s="7">
        <v>1.0</v>
      </c>
      <c r="K43">
        <v>17.0</v>
      </c>
      <c r="L43">
        <v>474.36019116855135</v>
      </c>
      <c r="M43">
        <v>-26.360191168551353</v>
      </c>
      <c r="N43">
        <v>-0.28358608081669856</v>
      </c>
    </row>
    <row r="44" ht="22.5" customHeight="1">
      <c r="A44" s="7">
        <v>2022.0</v>
      </c>
      <c r="B44" s="7">
        <v>7.0</v>
      </c>
      <c r="C44" s="8" t="str">
        <f>DATE('MODELO 4'!$A44,'MODELO 4'!$B44,1)</f>
        <v>7/1/2022</v>
      </c>
      <c r="D44" s="7">
        <v>595.0</v>
      </c>
      <c r="E44" s="7">
        <v>10.0</v>
      </c>
      <c r="F44" s="7">
        <v>1.0</v>
      </c>
      <c r="K44">
        <v>18.0</v>
      </c>
      <c r="L44">
        <v>474.36019116855135</v>
      </c>
      <c r="M44">
        <v>11.639808831448647</v>
      </c>
      <c r="N44">
        <v>0.1252224517970945</v>
      </c>
    </row>
    <row r="45" ht="22.5" customHeight="1">
      <c r="A45" s="7">
        <v>2022.0</v>
      </c>
      <c r="B45" s="7">
        <v>8.0</v>
      </c>
      <c r="C45" s="8" t="str">
        <f>DATE('MODELO 4'!$A45,'MODELO 4'!$B45,1)</f>
        <v>8/1/2022</v>
      </c>
      <c r="D45" s="7">
        <v>562.0</v>
      </c>
      <c r="E45" s="7">
        <v>10.0</v>
      </c>
      <c r="F45" s="7">
        <v>1.0</v>
      </c>
      <c r="K45">
        <v>19.0</v>
      </c>
      <c r="L45">
        <v>474.36019116855135</v>
      </c>
      <c r="M45">
        <v>42.63980883144865</v>
      </c>
      <c r="N45">
        <v>0.45872414945571516</v>
      </c>
    </row>
    <row r="46" ht="22.5" customHeight="1">
      <c r="A46" s="7">
        <v>2022.0</v>
      </c>
      <c r="B46" s="7">
        <v>9.0</v>
      </c>
      <c r="C46" s="8" t="str">
        <f>DATE('MODELO 4'!$A46,'MODELO 4'!$B46,1)</f>
        <v>9/1/2022</v>
      </c>
      <c r="D46" s="7">
        <v>637.0</v>
      </c>
      <c r="E46" s="7">
        <v>10.0</v>
      </c>
      <c r="F46" s="7">
        <v>1.0</v>
      </c>
      <c r="K46">
        <v>20.0</v>
      </c>
      <c r="L46">
        <v>474.36019116855135</v>
      </c>
      <c r="M46">
        <v>-72.36019116855135</v>
      </c>
      <c r="N46">
        <v>-0.7784595676649744</v>
      </c>
    </row>
    <row r="47" ht="22.5" customHeight="1">
      <c r="A47" s="7">
        <v>2022.0</v>
      </c>
      <c r="B47" s="7">
        <v>10.0</v>
      </c>
      <c r="C47" s="8" t="str">
        <f>DATE('MODELO 4'!$A47,'MODELO 4'!$B47,1)</f>
        <v>10/1/2022</v>
      </c>
      <c r="D47" s="7">
        <v>602.0</v>
      </c>
      <c r="E47" s="7">
        <v>10.0</v>
      </c>
      <c r="F47" s="7">
        <v>1.0</v>
      </c>
      <c r="K47">
        <v>21.0</v>
      </c>
      <c r="L47">
        <v>474.36019116855135</v>
      </c>
      <c r="M47">
        <v>-68.36019116855135</v>
      </c>
      <c r="N47">
        <v>-0.735427090547733</v>
      </c>
    </row>
    <row r="48" ht="22.5" customHeight="1">
      <c r="A48" s="7">
        <v>2022.0</v>
      </c>
      <c r="B48" s="7">
        <v>11.0</v>
      </c>
      <c r="C48" s="8" t="str">
        <f>DATE('MODELO 4'!$A48,'MODELO 4'!$B48,1)</f>
        <v>11/1/2022</v>
      </c>
      <c r="D48" s="7">
        <v>430.0</v>
      </c>
      <c r="E48" s="7">
        <v>10.0</v>
      </c>
      <c r="F48" s="7">
        <v>1.0</v>
      </c>
      <c r="K48">
        <v>22.0</v>
      </c>
      <c r="L48">
        <v>474.36019116855135</v>
      </c>
      <c r="M48">
        <v>-18.360191168551353</v>
      </c>
      <c r="N48">
        <v>-0.19752112658221582</v>
      </c>
    </row>
    <row r="49" ht="22.5" customHeight="1">
      <c r="A49" s="7">
        <v>2022.0</v>
      </c>
      <c r="B49" s="7">
        <v>12.0</v>
      </c>
      <c r="C49" s="8" t="str">
        <f>DATE('MODELO 4'!$A49,'MODELO 4'!$B49,1)</f>
        <v>12/1/2022</v>
      </c>
      <c r="D49" s="7">
        <v>541.0</v>
      </c>
      <c r="E49" s="7">
        <v>10.0</v>
      </c>
      <c r="F49" s="7">
        <v>1.0</v>
      </c>
      <c r="K49">
        <v>23.0</v>
      </c>
      <c r="L49">
        <v>494.2813004846526</v>
      </c>
      <c r="M49">
        <v>-77.2813004846526</v>
      </c>
      <c r="N49">
        <v>-0.831401448674117</v>
      </c>
    </row>
    <row r="50" ht="22.5" customHeight="1">
      <c r="A50" s="7">
        <v>2023.0</v>
      </c>
      <c r="B50" s="7">
        <v>1.0</v>
      </c>
      <c r="C50" s="8" t="str">
        <f>DATE('MODELO 4'!$A50,'MODELO 4'!$B50,1)</f>
        <v>1/1/2023</v>
      </c>
      <c r="D50" s="7">
        <v>496.0</v>
      </c>
      <c r="E50" s="7">
        <v>10.0</v>
      </c>
      <c r="F50" s="7">
        <v>1.0</v>
      </c>
      <c r="K50">
        <v>24.0</v>
      </c>
      <c r="L50">
        <v>494.2813004846526</v>
      </c>
      <c r="M50">
        <v>-4.281300484652604</v>
      </c>
      <c r="N50">
        <v>-0.0460587412844619</v>
      </c>
    </row>
    <row r="51" ht="22.5" customHeight="1">
      <c r="A51" s="7">
        <v>2023.0</v>
      </c>
      <c r="B51" s="7">
        <v>2.0</v>
      </c>
      <c r="C51" s="8" t="str">
        <f>DATE('MODELO 4'!$A51,'MODELO 4'!$B51,1)</f>
        <v>2/1/2023</v>
      </c>
      <c r="D51" s="7">
        <v>447.0</v>
      </c>
      <c r="E51" s="7">
        <v>11.0</v>
      </c>
      <c r="F51" s="7">
        <v>1.0</v>
      </c>
      <c r="K51">
        <v>25.0</v>
      </c>
      <c r="L51">
        <v>494.2813004846526</v>
      </c>
      <c r="M51">
        <v>-93.2813004846526</v>
      </c>
      <c r="N51">
        <v>-1.0035313571430826</v>
      </c>
    </row>
    <row r="52" ht="22.5" customHeight="1">
      <c r="A52" s="7">
        <v>2023.0</v>
      </c>
      <c r="B52" s="7">
        <v>3.0</v>
      </c>
      <c r="C52" s="8" t="str">
        <f>DATE('MODELO 4'!$A52,'MODELO 4'!$B52,1)</f>
        <v>3/1/2023</v>
      </c>
      <c r="D52" s="7">
        <v>427.0</v>
      </c>
      <c r="E52" s="7">
        <v>11.0</v>
      </c>
      <c r="F52" s="7">
        <v>1.0</v>
      </c>
      <c r="K52">
        <v>26.0</v>
      </c>
      <c r="L52">
        <v>494.2813004846526</v>
      </c>
      <c r="M52">
        <v>-72.2813004846526</v>
      </c>
      <c r="N52">
        <v>-0.7776108522775653</v>
      </c>
    </row>
    <row r="53" ht="22.5" customHeight="1">
      <c r="A53" s="7">
        <v>2023.0</v>
      </c>
      <c r="B53" s="7">
        <v>4.0</v>
      </c>
      <c r="C53" s="8" t="str">
        <f>DATE('MODELO 4'!$A53,'MODELO 4'!$B53,1)</f>
        <v>4/1/2023</v>
      </c>
      <c r="D53" s="7">
        <v>582.0</v>
      </c>
      <c r="E53" s="7">
        <v>11.0</v>
      </c>
      <c r="F53" s="7">
        <v>1.0</v>
      </c>
      <c r="K53">
        <v>27.0</v>
      </c>
      <c r="L53">
        <v>494.2813004846526</v>
      </c>
      <c r="M53">
        <v>-9.281300484652604</v>
      </c>
      <c r="N53">
        <v>-0.09984933768101362</v>
      </c>
    </row>
    <row r="54" ht="22.5" customHeight="1">
      <c r="A54" s="7">
        <v>2023.0</v>
      </c>
      <c r="B54" s="7">
        <v>5.0</v>
      </c>
      <c r="C54" s="8" t="str">
        <f>DATE('MODELO 4'!$A54,'MODELO 4'!$B54,1)</f>
        <v>5/1/2023</v>
      </c>
      <c r="D54" s="7">
        <v>740.0</v>
      </c>
      <c r="E54" s="7">
        <v>11.0</v>
      </c>
      <c r="F54" s="7">
        <v>1.0</v>
      </c>
      <c r="K54">
        <v>28.0</v>
      </c>
      <c r="L54">
        <v>494.2813004846526</v>
      </c>
      <c r="M54">
        <v>-62.281300484652604</v>
      </c>
      <c r="N54">
        <v>-0.6700296594844618</v>
      </c>
    </row>
    <row r="55" ht="22.5" customHeight="1">
      <c r="A55" s="7">
        <v>2023.0</v>
      </c>
      <c r="B55" s="7">
        <v>6.0</v>
      </c>
      <c r="C55" s="8" t="str">
        <f>DATE('MODELO 4'!$A55,'MODELO 4'!$B55,1)</f>
        <v>6/1/2023</v>
      </c>
      <c r="D55" s="7">
        <v>724.0</v>
      </c>
      <c r="E55" s="7">
        <v>12.0</v>
      </c>
      <c r="F55" s="7">
        <v>1.0</v>
      </c>
      <c r="K55">
        <v>29.0</v>
      </c>
      <c r="L55">
        <v>494.2813004846526</v>
      </c>
      <c r="M55">
        <v>-82.2813004846526</v>
      </c>
      <c r="N55">
        <v>-0.8851920450706687</v>
      </c>
    </row>
    <row r="56" ht="22.5" customHeight="1">
      <c r="A56" s="7">
        <v>2023.0</v>
      </c>
      <c r="B56" s="7">
        <v>7.0</v>
      </c>
      <c r="C56" s="8" t="str">
        <f>DATE('MODELO 4'!$A56,'MODELO 4'!$B56,1)</f>
        <v>7/1/2023</v>
      </c>
      <c r="D56" s="7">
        <v>657.0</v>
      </c>
      <c r="E56" s="7">
        <v>12.0</v>
      </c>
      <c r="F56" s="7">
        <v>1.0</v>
      </c>
      <c r="K56">
        <v>30.0</v>
      </c>
      <c r="L56">
        <v>494.2813004846526</v>
      </c>
      <c r="M56">
        <v>54.718699515347396</v>
      </c>
      <c r="N56">
        <v>0.5886702961948483</v>
      </c>
    </row>
    <row r="57" ht="22.5" customHeight="1">
      <c r="A57" s="7">
        <v>2023.0</v>
      </c>
      <c r="B57" s="7">
        <v>8.0</v>
      </c>
      <c r="C57" s="8" t="str">
        <f>DATE('MODELO 4'!$A57,'MODELO 4'!$B57,1)</f>
        <v>8/1/2023</v>
      </c>
      <c r="D57" s="7">
        <v>625.0</v>
      </c>
      <c r="E57" s="7">
        <v>12.0</v>
      </c>
      <c r="F57" s="7">
        <v>1.0</v>
      </c>
      <c r="K57">
        <v>31.0</v>
      </c>
      <c r="L57">
        <v>494.2813004846526</v>
      </c>
      <c r="M57">
        <v>32.718699515347396</v>
      </c>
      <c r="N57">
        <v>0.3519916720500208</v>
      </c>
    </row>
    <row r="58" ht="22.5" customHeight="1">
      <c r="A58" s="7">
        <v>2023.0</v>
      </c>
      <c r="B58" s="7">
        <v>9.0</v>
      </c>
      <c r="C58" s="8" t="str">
        <f>DATE('MODELO 4'!$A58,'MODELO 4'!$B58,1)</f>
        <v>9/1/2023</v>
      </c>
      <c r="D58" s="7">
        <v>685.0</v>
      </c>
      <c r="E58" s="7">
        <v>12.0</v>
      </c>
      <c r="F58" s="7">
        <v>1.0</v>
      </c>
      <c r="K58">
        <v>32.0</v>
      </c>
      <c r="L58">
        <v>494.2813004846526</v>
      </c>
      <c r="M58">
        <v>136.7186995153474</v>
      </c>
      <c r="N58">
        <v>1.4708360770982967</v>
      </c>
    </row>
    <row r="59" ht="22.5" customHeight="1">
      <c r="A59" s="7">
        <v>2023.0</v>
      </c>
      <c r="B59" s="7">
        <v>10.0</v>
      </c>
      <c r="C59" s="8" t="str">
        <f>DATE('MODELO 4'!$A59,'MODELO 4'!$B59,1)</f>
        <v>10/1/2023</v>
      </c>
      <c r="D59" s="7">
        <v>658.0</v>
      </c>
      <c r="E59" s="7">
        <v>12.0</v>
      </c>
      <c r="F59" s="7">
        <v>1.0</v>
      </c>
      <c r="K59">
        <v>33.0</v>
      </c>
      <c r="L59">
        <v>494.2813004846526</v>
      </c>
      <c r="M59">
        <v>104.7186995153474</v>
      </c>
      <c r="N59">
        <v>1.1265762601603655</v>
      </c>
    </row>
    <row r="60" ht="22.5" customHeight="1">
      <c r="A60" s="7">
        <v>2023.0</v>
      </c>
      <c r="B60" s="7">
        <v>11.0</v>
      </c>
      <c r="C60" s="8" t="str">
        <f>DATE('MODELO 4'!$A60,'MODELO 4'!$B60,1)</f>
        <v>11/1/2023</v>
      </c>
      <c r="D60" s="7">
        <v>632.0</v>
      </c>
      <c r="E60" s="7">
        <v>12.0</v>
      </c>
      <c r="F60" s="7">
        <v>1.0</v>
      </c>
      <c r="K60">
        <v>34.0</v>
      </c>
      <c r="L60">
        <v>514.2024098007539</v>
      </c>
      <c r="M60">
        <v>42.79759019924609</v>
      </c>
      <c r="N60">
        <v>0.46042158023053276</v>
      </c>
    </row>
    <row r="61" ht="22.5" customHeight="1">
      <c r="A61" s="7">
        <v>2023.0</v>
      </c>
      <c r="B61" s="7">
        <v>12.0</v>
      </c>
      <c r="C61" s="8" t="str">
        <f>DATE('MODELO 4'!$A61,'MODELO 4'!$B61,1)</f>
        <v>12/1/2023</v>
      </c>
      <c r="D61" s="7">
        <v>543.0</v>
      </c>
      <c r="E61" s="7">
        <v>12.0</v>
      </c>
      <c r="F61" s="7">
        <v>1.0</v>
      </c>
      <c r="K61">
        <v>35.0</v>
      </c>
      <c r="L61">
        <v>514.2024098007539</v>
      </c>
      <c r="M61">
        <v>98.79759019924609</v>
      </c>
      <c r="N61">
        <v>1.062876259871912</v>
      </c>
    </row>
    <row r="62" ht="22.5" customHeight="1">
      <c r="A62" s="7">
        <v>2024.0</v>
      </c>
      <c r="B62" s="7">
        <v>1.0</v>
      </c>
      <c r="C62" s="8" t="str">
        <f>DATE('MODELO 4'!$A62,'MODELO 4'!$B62,1)</f>
        <v>1/1/2024</v>
      </c>
      <c r="D62" s="7">
        <v>502.0</v>
      </c>
      <c r="E62" s="7">
        <v>12.0</v>
      </c>
      <c r="F62" s="7">
        <v>1.0</v>
      </c>
      <c r="K62">
        <v>36.0</v>
      </c>
      <c r="L62">
        <v>514.2024098007539</v>
      </c>
      <c r="M62">
        <v>218.7975901992461</v>
      </c>
      <c r="N62">
        <v>2.3538505733891535</v>
      </c>
    </row>
    <row r="63" ht="22.5" customHeight="1">
      <c r="A63" s="7">
        <v>2024.0</v>
      </c>
      <c r="B63" s="7">
        <v>2.0</v>
      </c>
      <c r="C63" s="8" t="str">
        <f>DATE('MODELO 4'!$A63,'MODELO 4'!$B63,1)</f>
        <v>2/1/2024</v>
      </c>
      <c r="D63" s="7">
        <v>403.0</v>
      </c>
      <c r="E63" s="7">
        <v>12.0</v>
      </c>
      <c r="F63" s="7">
        <v>1.0</v>
      </c>
      <c r="K63">
        <v>37.0</v>
      </c>
      <c r="L63">
        <v>514.2024098007539</v>
      </c>
      <c r="M63">
        <v>-124.20240980075391</v>
      </c>
      <c r="N63">
        <v>-1.3361843394142947</v>
      </c>
    </row>
    <row r="64" ht="22.5" customHeight="1">
      <c r="A64" s="7">
        <v>2024.0</v>
      </c>
      <c r="B64" s="7">
        <v>3.0</v>
      </c>
      <c r="C64" s="8" t="str">
        <f>DATE('MODELO 4'!$A64,'MODELO 4'!$B64,1)</f>
        <v>3/1/2024</v>
      </c>
      <c r="D64" s="7">
        <v>427.0</v>
      </c>
      <c r="E64" s="7">
        <v>12.0</v>
      </c>
      <c r="F64" s="7">
        <v>1.0</v>
      </c>
      <c r="K64">
        <v>38.0</v>
      </c>
      <c r="L64">
        <v>514.2024098007539</v>
      </c>
      <c r="M64">
        <v>-33.20240980075391</v>
      </c>
      <c r="N64">
        <v>-0.3571954849970534</v>
      </c>
    </row>
    <row r="65" ht="22.5" customHeight="1">
      <c r="A65" s="7">
        <v>2024.0</v>
      </c>
      <c r="B65" s="7">
        <v>4.0</v>
      </c>
      <c r="C65" s="8" t="str">
        <f>DATE('MODELO 4'!$A65,'MODELO 4'!$B65,1)</f>
        <v>4/1/2024</v>
      </c>
      <c r="D65" s="7">
        <v>567.0</v>
      </c>
      <c r="E65" s="7">
        <v>12.0</v>
      </c>
      <c r="F65" s="7">
        <v>1.0</v>
      </c>
      <c r="K65">
        <v>39.0</v>
      </c>
      <c r="L65">
        <v>534.123519116855</v>
      </c>
      <c r="M65">
        <v>17.87648088314495</v>
      </c>
      <c r="N65">
        <v>0.19231731363518448</v>
      </c>
    </row>
    <row r="66" ht="22.5" customHeight="1">
      <c r="A66" s="7">
        <v>2024.0</v>
      </c>
      <c r="B66" s="7">
        <v>5.0</v>
      </c>
      <c r="C66" s="8" t="str">
        <f>DATE('MODELO 4'!$A66,'MODELO 4'!$B66,1)</f>
        <v>5/1/2024</v>
      </c>
      <c r="D66" s="7">
        <v>563.0</v>
      </c>
      <c r="E66" s="7">
        <v>12.0</v>
      </c>
      <c r="F66" s="7">
        <v>1.0</v>
      </c>
      <c r="K66">
        <v>40.0</v>
      </c>
      <c r="L66">
        <v>534.123519116855</v>
      </c>
      <c r="M66">
        <v>4.87648088314495</v>
      </c>
      <c r="N66">
        <v>0.05246176300415002</v>
      </c>
    </row>
    <row r="67" ht="22.5" customHeight="1">
      <c r="A67" s="7">
        <v>2024.0</v>
      </c>
      <c r="B67" s="7">
        <v>6.0</v>
      </c>
      <c r="C67" s="8" t="str">
        <f>DATE('MODELO 4'!$A67,'MODELO 4'!$B67,1)</f>
        <v>6/1/2024</v>
      </c>
      <c r="D67" s="7">
        <v>573.0</v>
      </c>
      <c r="E67" s="7">
        <v>12.0</v>
      </c>
      <c r="F67" s="7">
        <v>1.0</v>
      </c>
      <c r="K67">
        <v>41.0</v>
      </c>
      <c r="L67">
        <v>534.123519116855</v>
      </c>
      <c r="M67">
        <v>39.87648088314495</v>
      </c>
      <c r="N67">
        <v>0.42899593778001205</v>
      </c>
    </row>
    <row r="68" ht="22.5" customHeight="1">
      <c r="A68" s="7">
        <v>2024.0</v>
      </c>
      <c r="B68" s="7">
        <v>7.0</v>
      </c>
      <c r="C68" s="8" t="str">
        <f>DATE('MODELO 4'!$A68,'MODELO 4'!$B68,1)</f>
        <v>7/1/2024</v>
      </c>
      <c r="D68" s="7">
        <v>600.0</v>
      </c>
      <c r="E68" s="7">
        <v>12.0</v>
      </c>
      <c r="F68" s="7">
        <v>1.0</v>
      </c>
      <c r="K68">
        <v>42.0</v>
      </c>
      <c r="L68">
        <v>534.123519116855</v>
      </c>
      <c r="M68">
        <v>223.87648088314495</v>
      </c>
      <c r="N68">
        <v>2.408489885173115</v>
      </c>
    </row>
    <row r="69" ht="22.5" customHeight="1">
      <c r="A69" s="7">
        <v>2024.0</v>
      </c>
      <c r="B69" s="7">
        <v>8.0</v>
      </c>
      <c r="C69" s="8" t="str">
        <f>DATE('MODELO 4'!$A69,'MODELO 4'!$B69,1)</f>
        <v>8/1/2024</v>
      </c>
      <c r="D69" s="7">
        <v>677.0</v>
      </c>
      <c r="E69" s="7">
        <v>12.0</v>
      </c>
      <c r="F69" s="7">
        <v>1.0</v>
      </c>
      <c r="K69">
        <v>43.0</v>
      </c>
      <c r="L69">
        <v>534.123519116855</v>
      </c>
      <c r="M69">
        <v>60.87648088314495</v>
      </c>
      <c r="N69">
        <v>0.6549164426455293</v>
      </c>
    </row>
    <row r="70" ht="22.5" customHeight="1">
      <c r="A70" s="7">
        <v>2024.0</v>
      </c>
      <c r="B70" s="7">
        <v>9.0</v>
      </c>
      <c r="C70" s="8" t="str">
        <f>DATE('MODELO 4'!$A70,'MODELO 4'!$B70,1)</f>
        <v>9/1/2024</v>
      </c>
      <c r="D70" s="7">
        <v>590.0</v>
      </c>
      <c r="E70" s="7">
        <v>12.0</v>
      </c>
      <c r="F70" s="7">
        <v>1.0</v>
      </c>
      <c r="K70">
        <v>44.0</v>
      </c>
      <c r="L70">
        <v>534.123519116855</v>
      </c>
      <c r="M70">
        <v>27.87648088314495</v>
      </c>
      <c r="N70">
        <v>0.2998985064282879</v>
      </c>
    </row>
    <row r="71" ht="22.5" customHeight="1">
      <c r="A71" s="7">
        <v>2024.0</v>
      </c>
      <c r="B71" s="7">
        <v>10.0</v>
      </c>
      <c r="C71" s="8" t="str">
        <f>DATE('MODELO 4'!$A71,'MODELO 4'!$B71,1)</f>
        <v>10/1/2024</v>
      </c>
      <c r="D71" s="7">
        <v>428.0</v>
      </c>
      <c r="E71" s="7">
        <v>12.0</v>
      </c>
      <c r="F71" s="7">
        <v>1.0</v>
      </c>
      <c r="K71">
        <v>45.0</v>
      </c>
      <c r="L71">
        <v>534.123519116855</v>
      </c>
      <c r="M71">
        <v>102.87648088314495</v>
      </c>
      <c r="N71">
        <v>1.1067574523765638</v>
      </c>
    </row>
    <row r="72" ht="22.5" customHeight="1">
      <c r="A72" s="7">
        <v>2024.0</v>
      </c>
      <c r="B72" s="7">
        <v>11.0</v>
      </c>
      <c r="C72" s="8" t="str">
        <f>DATE('MODELO 4'!$A72,'MODELO 4'!$B72,1)</f>
        <v>11/1/2024</v>
      </c>
      <c r="D72" s="7">
        <v>368.0</v>
      </c>
      <c r="E72" s="7">
        <v>12.0</v>
      </c>
      <c r="F72" s="7">
        <v>1.0</v>
      </c>
      <c r="K72">
        <v>46.0</v>
      </c>
      <c r="L72">
        <v>534.123519116855</v>
      </c>
      <c r="M72">
        <v>67.87648088314495</v>
      </c>
      <c r="N72">
        <v>0.7302232776007017</v>
      </c>
    </row>
    <row r="73" ht="22.5" customHeight="1">
      <c r="A73" s="7">
        <v>2024.0</v>
      </c>
      <c r="B73" s="7">
        <v>12.0</v>
      </c>
      <c r="C73" s="8" t="str">
        <f>DATE('MODELO 4'!$A73,'MODELO 4'!$B73,1)</f>
        <v>12/1/2024</v>
      </c>
      <c r="D73" s="7">
        <v>607.0</v>
      </c>
      <c r="E73" s="7">
        <v>12.0</v>
      </c>
      <c r="F73" s="7">
        <v>1.0</v>
      </c>
      <c r="K73">
        <v>47.0</v>
      </c>
      <c r="L73">
        <v>534.123519116855</v>
      </c>
      <c r="M73">
        <v>-104.12351911685505</v>
      </c>
      <c r="N73">
        <v>-1.1201732384406775</v>
      </c>
    </row>
    <row r="74" ht="22.5" customHeight="1">
      <c r="A74" s="7">
        <v>2025.0</v>
      </c>
      <c r="B74" s="7">
        <v>1.0</v>
      </c>
      <c r="C74" s="8" t="str">
        <f>DATE('MODELO 4'!$A74,'MODELO 4'!$B74,1)</f>
        <v>1/1/2025</v>
      </c>
      <c r="D74" s="7">
        <v>583.0</v>
      </c>
      <c r="E74" s="7">
        <v>12.0</v>
      </c>
      <c r="F74" s="7">
        <v>1.0</v>
      </c>
      <c r="K74">
        <v>48.0</v>
      </c>
      <c r="L74">
        <v>534.123519116855</v>
      </c>
      <c r="M74">
        <v>6.87648088314495</v>
      </c>
      <c r="N74">
        <v>0.0739780015627707</v>
      </c>
    </row>
    <row r="75" ht="22.5" customHeight="1">
      <c r="A75" s="7">
        <v>2025.0</v>
      </c>
      <c r="B75" s="7">
        <v>2.0</v>
      </c>
      <c r="C75" s="8" t="str">
        <f>DATE('MODELO 4'!$A75,'MODELO 4'!$B75,1)</f>
        <v>2/1/2025</v>
      </c>
      <c r="D75" s="7">
        <v>550.0</v>
      </c>
      <c r="E75" s="7">
        <v>12.0</v>
      </c>
      <c r="F75" s="7">
        <v>1.0</v>
      </c>
      <c r="K75">
        <v>49.0</v>
      </c>
      <c r="L75">
        <v>534.123519116855</v>
      </c>
      <c r="M75">
        <v>-38.12351911685505</v>
      </c>
      <c r="N75">
        <v>-0.41013736600619477</v>
      </c>
    </row>
    <row r="76" ht="22.5" customHeight="1">
      <c r="A76" s="7">
        <v>2025.0</v>
      </c>
      <c r="B76" s="7">
        <v>3.0</v>
      </c>
      <c r="C76" s="8" t="str">
        <f>DATE('MODELO 4'!$A76,'MODELO 4'!$B76,1)</f>
        <v>3/1/2025</v>
      </c>
      <c r="D76" s="7">
        <v>580.0</v>
      </c>
      <c r="E76" s="7">
        <v>12.0</v>
      </c>
      <c r="F76" s="7">
        <v>1.0</v>
      </c>
      <c r="K76">
        <v>50.0</v>
      </c>
      <c r="L76">
        <v>554.0446284329564</v>
      </c>
      <c r="M76">
        <v>-107.04462843295642</v>
      </c>
      <c r="N76">
        <v>-1.1515988808912005</v>
      </c>
    </row>
    <row r="77" ht="22.5" customHeight="1">
      <c r="A77" s="7">
        <v>2025.0</v>
      </c>
      <c r="B77" s="7">
        <v>4.0</v>
      </c>
      <c r="C77" s="8" t="str">
        <f>DATE('MODELO 4'!$A77,'MODELO 4'!$B77,1)</f>
        <v>4/1/2025</v>
      </c>
      <c r="D77" s="7">
        <v>522.0</v>
      </c>
      <c r="E77" s="7">
        <v>12.0</v>
      </c>
      <c r="F77" s="7">
        <v>1.0</v>
      </c>
      <c r="K77">
        <v>51.0</v>
      </c>
      <c r="L77">
        <v>554.0446284329564</v>
      </c>
      <c r="M77">
        <v>-127.04462843295642</v>
      </c>
      <c r="N77">
        <v>-1.3667612664774076</v>
      </c>
    </row>
    <row r="78" ht="22.5" customHeight="1">
      <c r="A78" s="7">
        <v>2025.0</v>
      </c>
      <c r="B78" s="7">
        <v>5.0</v>
      </c>
      <c r="C78" s="8" t="str">
        <f>DATE('MODELO 4'!$A78,'MODELO 4'!$B78,1)</f>
        <v>5/1/2025</v>
      </c>
      <c r="D78" s="7">
        <v>598.0</v>
      </c>
      <c r="E78" s="7">
        <v>12.0</v>
      </c>
      <c r="F78" s="7">
        <v>1.0</v>
      </c>
      <c r="K78">
        <v>52.0</v>
      </c>
      <c r="L78">
        <v>554.0446284329564</v>
      </c>
      <c r="M78">
        <v>27.955371567043585</v>
      </c>
      <c r="N78">
        <v>0.3007472218156958</v>
      </c>
    </row>
    <row r="79" ht="22.5" customHeight="1">
      <c r="A79" s="7">
        <v>2025.0</v>
      </c>
      <c r="B79" s="7">
        <v>6.0</v>
      </c>
      <c r="C79" s="8" t="str">
        <f>DATE('MODELO 4'!$A79,'MODELO 4'!$B79,1)</f>
        <v>6/1/2025</v>
      </c>
      <c r="D79" s="7">
        <v>594.0</v>
      </c>
      <c r="E79" s="7">
        <v>12.0</v>
      </c>
      <c r="F79" s="7">
        <v>1.0</v>
      </c>
      <c r="K79">
        <v>53.0</v>
      </c>
      <c r="L79">
        <v>554.0446284329564</v>
      </c>
      <c r="M79">
        <v>185.95537156704358</v>
      </c>
      <c r="N79">
        <v>2.00053006794673</v>
      </c>
    </row>
    <row r="80" ht="22.5" customHeight="1">
      <c r="A80" s="7">
        <v>2025.0</v>
      </c>
      <c r="B80" s="7">
        <v>7.0</v>
      </c>
      <c r="C80" s="8" t="str">
        <f>DATE('MODELO 4'!$A80,'MODELO 4'!$B80,1)</f>
        <v>7/1/2025</v>
      </c>
      <c r="D80" s="7">
        <v>698.0</v>
      </c>
      <c r="E80" s="7">
        <v>12.0</v>
      </c>
      <c r="F80" s="7">
        <v>1.0</v>
      </c>
      <c r="K80">
        <v>54.0</v>
      </c>
      <c r="L80">
        <v>573.9657377490576</v>
      </c>
      <c r="M80">
        <v>150.03426225094245</v>
      </c>
      <c r="N80">
        <v>1.6140864892789681</v>
      </c>
    </row>
    <row r="81" ht="22.5" customHeight="1">
      <c r="A81" s="7">
        <v>2025.0</v>
      </c>
      <c r="B81" s="7">
        <v>8.0</v>
      </c>
      <c r="C81" s="8" t="str">
        <f>DATE('MODELO 4'!$A81,'MODELO 4'!$B81,1)</f>
        <v>8/1/2025</v>
      </c>
      <c r="D81" s="7">
        <v>645.0</v>
      </c>
      <c r="E81" s="7">
        <v>12.0</v>
      </c>
      <c r="F81" s="7">
        <v>1.0</v>
      </c>
      <c r="K81">
        <v>55.0</v>
      </c>
      <c r="L81">
        <v>573.9657377490576</v>
      </c>
      <c r="M81">
        <v>83.03426225094245</v>
      </c>
      <c r="N81">
        <v>0.893292497565175</v>
      </c>
    </row>
    <row r="82" ht="22.5" customHeight="1">
      <c r="A82" s="7">
        <v>2025.0</v>
      </c>
      <c r="B82" s="7">
        <v>9.0</v>
      </c>
      <c r="C82" s="8" t="str">
        <f>DATE('MODELO 4'!$A82,'MODELO 4'!$B82,1)</f>
        <v>9/1/2025</v>
      </c>
      <c r="D82" s="7">
        <v>741.0</v>
      </c>
      <c r="E82" s="7">
        <v>12.0</v>
      </c>
      <c r="F82" s="7">
        <v>1.0</v>
      </c>
      <c r="K82">
        <v>56.0</v>
      </c>
      <c r="L82">
        <v>573.9657377490576</v>
      </c>
      <c r="M82">
        <v>51.03426225094245</v>
      </c>
      <c r="N82">
        <v>0.5490326806272441</v>
      </c>
    </row>
    <row r="83" ht="22.5" customHeight="1">
      <c r="A83" s="7">
        <v>2025.0</v>
      </c>
      <c r="B83" s="7">
        <v>10.0</v>
      </c>
      <c r="C83" s="8" t="str">
        <f>DATE('MODELO 4'!$A83,'MODELO 4'!$B83,1)</f>
        <v>10/1/2025</v>
      </c>
      <c r="D83" s="7">
        <v>626.0</v>
      </c>
      <c r="E83" s="7">
        <v>12.0</v>
      </c>
      <c r="F83" s="7">
        <v>1.0</v>
      </c>
      <c r="K83">
        <v>57.0</v>
      </c>
      <c r="L83">
        <v>573.9657377490576</v>
      </c>
      <c r="M83">
        <v>111.03426225094245</v>
      </c>
      <c r="N83">
        <v>1.1945198373858648</v>
      </c>
    </row>
    <row r="84" ht="22.5" customHeight="1">
      <c r="A84" s="7">
        <v>2025.0</v>
      </c>
      <c r="B84" s="7">
        <v>11.0</v>
      </c>
      <c r="C84" s="8" t="str">
        <f>DATE('MODELO 4'!$A84,'MODELO 4'!$B84,1)</f>
        <v>11/1/2025</v>
      </c>
      <c r="D84" s="7">
        <v>501.0</v>
      </c>
      <c r="E84" s="7">
        <v>12.0</v>
      </c>
      <c r="F84" s="7">
        <v>1.0</v>
      </c>
      <c r="K84">
        <v>58.0</v>
      </c>
      <c r="L84">
        <v>573.9657377490576</v>
      </c>
      <c r="M84">
        <v>84.03426225094245</v>
      </c>
      <c r="N84">
        <v>0.9040506168444854</v>
      </c>
    </row>
    <row r="85" ht="22.5" customHeight="1">
      <c r="A85" s="7">
        <v>2025.0</v>
      </c>
      <c r="B85" s="7">
        <v>12.0</v>
      </c>
      <c r="C85" s="8" t="str">
        <f>DATE('MODELO 4'!$A85,'MODELO 4'!$B85,1)</f>
        <v>12/1/2025</v>
      </c>
      <c r="D85" s="7">
        <v>411.0</v>
      </c>
      <c r="E85" s="7">
        <v>12.0</v>
      </c>
      <c r="F85" s="7">
        <v>1.0</v>
      </c>
      <c r="K85">
        <v>59.0</v>
      </c>
      <c r="L85">
        <v>573.9657377490576</v>
      </c>
      <c r="M85">
        <v>58.03426225094245</v>
      </c>
      <c r="N85">
        <v>0.6243395155824164</v>
      </c>
    </row>
    <row r="86" ht="22.5" customHeight="1">
      <c r="A86" s="7">
        <v>2026.0</v>
      </c>
      <c r="B86" s="7">
        <v>1.0</v>
      </c>
      <c r="C86" s="8" t="str">
        <f>DATE('MODELO 4'!$A86,'MODELO 4'!$B86,1)</f>
        <v>1/1/2026</v>
      </c>
      <c r="D86" s="7">
        <v>386.0</v>
      </c>
      <c r="E86" s="7">
        <v>12.0</v>
      </c>
      <c r="F86" s="7">
        <v>1.0</v>
      </c>
      <c r="K86">
        <v>60.0</v>
      </c>
      <c r="L86">
        <v>573.9657377490576</v>
      </c>
      <c r="M86">
        <v>-30.965737749057553</v>
      </c>
      <c r="N86">
        <v>-0.33313310027620413</v>
      </c>
    </row>
    <row r="87" ht="22.5" customHeight="1">
      <c r="A87" s="7">
        <v>2026.0</v>
      </c>
      <c r="B87" s="7">
        <v>2.0</v>
      </c>
      <c r="C87" s="8" t="str">
        <f>DATE('MODELO 4'!$A87,'MODELO 4'!$B87,1)</f>
        <v>2/1/2026</v>
      </c>
      <c r="D87" s="7">
        <v>406.0</v>
      </c>
      <c r="E87" s="7">
        <v>12.0</v>
      </c>
      <c r="F87" s="7">
        <v>1.0</v>
      </c>
      <c r="K87">
        <v>61.0</v>
      </c>
      <c r="L87">
        <v>573.9657377490576</v>
      </c>
      <c r="M87">
        <v>-71.96573774905755</v>
      </c>
      <c r="N87">
        <v>-0.7742159907279282</v>
      </c>
    </row>
    <row r="88" ht="22.5" customHeight="1">
      <c r="A88" s="7">
        <v>2026.0</v>
      </c>
      <c r="B88" s="7">
        <v>3.0</v>
      </c>
      <c r="C88" s="8" t="str">
        <f>DATE('MODELO 4'!$A88,'MODELO 4'!$B88,1)</f>
        <v>3/1/2026</v>
      </c>
      <c r="D88" s="7">
        <v>589.0</v>
      </c>
      <c r="E88" s="7">
        <v>12.0</v>
      </c>
      <c r="F88" s="7">
        <v>1.0</v>
      </c>
      <c r="K88">
        <v>62.0</v>
      </c>
      <c r="L88">
        <v>573.9657377490576</v>
      </c>
      <c r="M88">
        <v>-170.96573774905755</v>
      </c>
      <c r="N88">
        <v>-1.8392697993796523</v>
      </c>
    </row>
    <row r="89" ht="15.75" customHeight="1">
      <c r="K89">
        <v>63.0</v>
      </c>
      <c r="L89">
        <v>573.9657377490576</v>
      </c>
      <c r="M89">
        <v>-146.96573774905755</v>
      </c>
      <c r="N89">
        <v>-1.581074936676204</v>
      </c>
    </row>
    <row r="90" ht="15.75" customHeight="1">
      <c r="K90">
        <v>64.0</v>
      </c>
      <c r="L90">
        <v>573.9657377490576</v>
      </c>
      <c r="M90">
        <v>-6.965737749057553</v>
      </c>
      <c r="N90">
        <v>-0.0749382375727559</v>
      </c>
    </row>
    <row r="91" ht="15.75" customHeight="1">
      <c r="K91">
        <v>65.0</v>
      </c>
      <c r="L91">
        <v>573.9657377490576</v>
      </c>
      <c r="M91">
        <v>-10.965737749057553</v>
      </c>
      <c r="N91">
        <v>-0.11797071468999727</v>
      </c>
    </row>
    <row r="92" ht="15.75" customHeight="1">
      <c r="K92">
        <v>66.0</v>
      </c>
      <c r="L92">
        <v>573.9657377490576</v>
      </c>
      <c r="M92">
        <v>-0.9657377490575527</v>
      </c>
      <c r="N92">
        <v>-0.010389521896893832</v>
      </c>
    </row>
    <row r="93" ht="15.75" customHeight="1">
      <c r="K93">
        <v>67.0</v>
      </c>
      <c r="L93">
        <v>573.9657377490576</v>
      </c>
      <c r="M93">
        <v>26.034262250942447</v>
      </c>
      <c r="N93">
        <v>0.28007969864448545</v>
      </c>
    </row>
    <row r="94" ht="15.75" customHeight="1">
      <c r="K94">
        <v>68.0</v>
      </c>
      <c r="L94">
        <v>573.9657377490576</v>
      </c>
      <c r="M94">
        <v>103.03426225094245</v>
      </c>
      <c r="N94">
        <v>1.1084548831513819</v>
      </c>
    </row>
    <row r="95" ht="15.75" customHeight="1">
      <c r="K95">
        <v>69.0</v>
      </c>
      <c r="L95">
        <v>573.9657377490576</v>
      </c>
      <c r="M95">
        <v>16.034262250942447</v>
      </c>
      <c r="N95">
        <v>0.17249850585138202</v>
      </c>
    </row>
    <row r="96" ht="15.75" customHeight="1">
      <c r="K96">
        <v>70.0</v>
      </c>
      <c r="L96">
        <v>573.9657377490576</v>
      </c>
      <c r="M96">
        <v>-145.96573774905755</v>
      </c>
      <c r="N96">
        <v>-1.5703168173968938</v>
      </c>
    </row>
    <row r="97" ht="15.75" customHeight="1">
      <c r="K97">
        <v>71.0</v>
      </c>
      <c r="L97">
        <v>573.9657377490576</v>
      </c>
      <c r="M97">
        <v>-205.96573774905755</v>
      </c>
      <c r="N97">
        <v>-2.2158039741555142</v>
      </c>
    </row>
    <row r="98" ht="15.75" customHeight="1">
      <c r="K98">
        <v>72.0</v>
      </c>
      <c r="L98">
        <v>573.9657377490576</v>
      </c>
      <c r="M98">
        <v>33.03426225094245</v>
      </c>
      <c r="N98">
        <v>0.3553865335996579</v>
      </c>
    </row>
    <row r="99" ht="15.75" customHeight="1">
      <c r="K99">
        <v>73.0</v>
      </c>
      <c r="L99">
        <v>573.9657377490576</v>
      </c>
      <c r="M99">
        <v>9.034262250942447</v>
      </c>
      <c r="N99">
        <v>0.0971916708962096</v>
      </c>
    </row>
    <row r="100" ht="15.75" customHeight="1">
      <c r="K100">
        <v>74.0</v>
      </c>
      <c r="L100">
        <v>573.9657377490576</v>
      </c>
      <c r="M100">
        <v>-23.965737749057553</v>
      </c>
      <c r="N100">
        <v>-0.25782626532103176</v>
      </c>
    </row>
    <row r="101" ht="15.75" customHeight="1">
      <c r="K101">
        <v>75.0</v>
      </c>
      <c r="L101">
        <v>573.9657377490576</v>
      </c>
      <c r="M101">
        <v>6.034262250942447</v>
      </c>
      <c r="N101">
        <v>0.06491731305827858</v>
      </c>
    </row>
    <row r="102" ht="15.75" customHeight="1">
      <c r="K102">
        <v>76.0</v>
      </c>
      <c r="L102">
        <v>573.9657377490576</v>
      </c>
      <c r="M102">
        <v>-51.96573774905755</v>
      </c>
      <c r="N102">
        <v>-0.5590536051417214</v>
      </c>
    </row>
    <row r="103" ht="15.75" customHeight="1">
      <c r="K103">
        <v>77.0</v>
      </c>
      <c r="L103">
        <v>573.9657377490576</v>
      </c>
      <c r="M103">
        <v>24.034262250942447</v>
      </c>
      <c r="N103">
        <v>0.2585634600858648</v>
      </c>
    </row>
    <row r="104" ht="15.75" customHeight="1">
      <c r="K104">
        <v>78.0</v>
      </c>
      <c r="L104">
        <v>573.9657377490576</v>
      </c>
      <c r="M104">
        <v>20.034262250942447</v>
      </c>
      <c r="N104">
        <v>0.21553098296862339</v>
      </c>
    </row>
    <row r="105" ht="15.75" customHeight="1">
      <c r="K105">
        <v>79.0</v>
      </c>
      <c r="L105">
        <v>573.9657377490576</v>
      </c>
      <c r="M105">
        <v>124.03426225094245</v>
      </c>
      <c r="N105">
        <v>1.3343753880168991</v>
      </c>
    </row>
    <row r="106" ht="15.75" customHeight="1">
      <c r="K106">
        <v>80.0</v>
      </c>
      <c r="L106">
        <v>573.9657377490576</v>
      </c>
      <c r="M106">
        <v>71.03426225094245</v>
      </c>
      <c r="N106">
        <v>0.7641950662134509</v>
      </c>
    </row>
    <row r="107" ht="15.75" customHeight="1">
      <c r="K107">
        <v>81.0</v>
      </c>
      <c r="L107">
        <v>573.9657377490576</v>
      </c>
      <c r="M107">
        <v>167.03426225094245</v>
      </c>
      <c r="N107">
        <v>1.796974517027244</v>
      </c>
    </row>
    <row r="108" ht="15.75" customHeight="1">
      <c r="K108">
        <v>82.0</v>
      </c>
      <c r="L108">
        <v>573.9657377490576</v>
      </c>
      <c r="M108">
        <v>52.03426225094245</v>
      </c>
      <c r="N108">
        <v>0.5597907999065544</v>
      </c>
    </row>
    <row r="109" ht="15.75" customHeight="1">
      <c r="K109">
        <v>83.0</v>
      </c>
      <c r="L109">
        <v>573.9657377490576</v>
      </c>
      <c r="M109">
        <v>-72.96573774905755</v>
      </c>
      <c r="N109">
        <v>-0.7849741100072386</v>
      </c>
    </row>
    <row r="110" ht="15.75" customHeight="1">
      <c r="K110">
        <v>84.0</v>
      </c>
      <c r="L110">
        <v>573.9657377490576</v>
      </c>
      <c r="M110">
        <v>-162.96573774905755</v>
      </c>
      <c r="N110">
        <v>-1.7532048451451696</v>
      </c>
    </row>
    <row r="111" ht="15.75" customHeight="1">
      <c r="K111">
        <v>85.0</v>
      </c>
      <c r="L111">
        <v>573.9657377490576</v>
      </c>
      <c r="M111">
        <v>-187.96573774905755</v>
      </c>
      <c r="N111">
        <v>-2.0221578271279284</v>
      </c>
    </row>
    <row r="112" ht="15.75" customHeight="1">
      <c r="K112">
        <v>86.0</v>
      </c>
      <c r="L112">
        <v>573.9657377490576</v>
      </c>
      <c r="M112">
        <v>-167.96573774905755</v>
      </c>
      <c r="N112">
        <v>-1.8069954415417213</v>
      </c>
    </row>
    <row r="113" ht="15.75" customHeight="1">
      <c r="K113" s="11">
        <v>87.0</v>
      </c>
      <c r="L113" s="11">
        <v>573.9657377490576</v>
      </c>
      <c r="M113" s="11">
        <v>15.034262250942447</v>
      </c>
      <c r="N113" s="11">
        <v>0.16174038657207168</v>
      </c>
    </row>
  </sheetData>
  <mergeCells count="1">
    <mergeCell ref="K4:L4"/>
  </mergeCells>
  <dataValidations>
    <dataValidation type="custom" allowBlank="1" showDropDown="1" sqref="A2:D88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14"/>
    <col customWidth="1" min="4" max="4" width="11.71"/>
    <col customWidth="1" min="5" max="5" width="11.0"/>
    <col customWidth="1" min="6" max="6" width="8.71"/>
    <col customWidth="1" min="7" max="17" width="12.57"/>
  </cols>
  <sheetData>
    <row r="1" ht="22.5" customHeight="1">
      <c r="A1" s="6" t="s">
        <v>0</v>
      </c>
      <c r="B1" s="6" t="s">
        <v>2</v>
      </c>
      <c r="C1" s="6" t="s">
        <v>54</v>
      </c>
      <c r="D1" s="6" t="s">
        <v>4</v>
      </c>
      <c r="E1" s="6" t="s">
        <v>15</v>
      </c>
      <c r="F1" s="6" t="s">
        <v>21</v>
      </c>
    </row>
    <row r="2" ht="22.5" customHeight="1">
      <c r="A2" s="7">
        <v>2022.0</v>
      </c>
      <c r="B2" s="7">
        <v>3.0</v>
      </c>
      <c r="C2" s="8" t="str">
        <f>DATE('MODELO 5'!$A2,'MODELO 5'!$B2,1)</f>
        <v>3/1/2022</v>
      </c>
      <c r="D2" s="7">
        <v>552.0</v>
      </c>
      <c r="E2" s="7">
        <v>10.0</v>
      </c>
      <c r="F2" s="7">
        <v>4.968086490033929</v>
      </c>
      <c r="I2" t="s">
        <v>55</v>
      </c>
    </row>
    <row r="3" ht="22.5" customHeight="1">
      <c r="A3" s="7">
        <v>2022.0</v>
      </c>
      <c r="B3" s="7">
        <v>4.0</v>
      </c>
      <c r="C3" s="8" t="str">
        <f>DATE('MODELO 5'!$A3,'MODELO 5'!$B3,1)</f>
        <v>4/1/2022</v>
      </c>
      <c r="D3" s="7">
        <v>539.0</v>
      </c>
      <c r="E3" s="7">
        <v>10.0</v>
      </c>
      <c r="F3" s="7">
        <v>4.915976252882711</v>
      </c>
    </row>
    <row r="4" ht="22.5" customHeight="1">
      <c r="A4" s="7">
        <v>2023.0</v>
      </c>
      <c r="B4" s="7">
        <v>7.0</v>
      </c>
      <c r="C4" s="8" t="str">
        <f>DATE('MODELO 5'!$A4,'MODELO 5'!$B4,1)</f>
        <v>7/1/2023</v>
      </c>
      <c r="D4" s="7">
        <v>657.0</v>
      </c>
      <c r="E4" s="7">
        <v>12.0</v>
      </c>
      <c r="F4" s="7">
        <v>3.9273094368275667</v>
      </c>
      <c r="I4" s="10" t="s">
        <v>56</v>
      </c>
      <c r="J4" s="12"/>
    </row>
    <row r="5" ht="22.5" customHeight="1">
      <c r="A5" s="7">
        <v>2023.0</v>
      </c>
      <c r="B5" s="7">
        <v>8.0</v>
      </c>
      <c r="C5" s="8" t="str">
        <f>DATE('MODELO 5'!$A5,'MODELO 5'!$B5,1)</f>
        <v>8/1/2023</v>
      </c>
      <c r="D5" s="7">
        <v>625.0</v>
      </c>
      <c r="E5" s="7">
        <v>12.0</v>
      </c>
      <c r="F5" s="7">
        <v>4.072688098314001</v>
      </c>
      <c r="I5" t="s">
        <v>57</v>
      </c>
      <c r="J5">
        <v>0.17794484975766905</v>
      </c>
    </row>
    <row r="6" ht="22.5" customHeight="1">
      <c r="A6" s="7">
        <v>2023.0</v>
      </c>
      <c r="B6" s="7">
        <v>9.0</v>
      </c>
      <c r="C6" s="8" t="str">
        <f>DATE('MODELO 5'!$A6,'MODELO 5'!$B6,1)</f>
        <v>9/1/2023</v>
      </c>
      <c r="D6" s="7">
        <v>685.0</v>
      </c>
      <c r="E6" s="7">
        <v>12.0</v>
      </c>
      <c r="F6" s="7">
        <v>4.7061789945915775</v>
      </c>
      <c r="I6" t="s">
        <v>58</v>
      </c>
      <c r="J6" s="13">
        <v>0.03166436955527941</v>
      </c>
    </row>
    <row r="7" ht="22.5" customHeight="1">
      <c r="A7" s="7">
        <v>2023.0</v>
      </c>
      <c r="B7" s="7">
        <v>10.0</v>
      </c>
      <c r="C7" s="8" t="str">
        <f>DATE('MODELO 5'!$A7,'MODELO 5'!$B7,1)</f>
        <v>10/1/2023</v>
      </c>
      <c r="D7" s="7">
        <v>658.0</v>
      </c>
      <c r="E7" s="7">
        <v>12.0</v>
      </c>
      <c r="F7" s="7">
        <v>5.091458352802103</v>
      </c>
      <c r="I7" t="s">
        <v>59</v>
      </c>
      <c r="J7" s="13">
        <v>0.0023208656024090893</v>
      </c>
    </row>
    <row r="8" ht="22.5" customHeight="1">
      <c r="A8" s="7">
        <v>2023.0</v>
      </c>
      <c r="B8" s="7">
        <v>11.0</v>
      </c>
      <c r="C8" s="8" t="str">
        <f>DATE('MODELO 5'!$A8,'MODELO 5'!$B8,1)</f>
        <v>11/1/2023</v>
      </c>
      <c r="D8" s="7">
        <v>632.0</v>
      </c>
      <c r="E8" s="7">
        <v>12.0</v>
      </c>
      <c r="F8" s="7">
        <v>5.031611752522065</v>
      </c>
      <c r="I8" t="s">
        <v>60</v>
      </c>
      <c r="J8">
        <v>95.74562230815606</v>
      </c>
    </row>
    <row r="9" ht="22.5" customHeight="1">
      <c r="A9" s="7">
        <v>2023.0</v>
      </c>
      <c r="B9" s="7">
        <v>12.0</v>
      </c>
      <c r="C9" s="8" t="str">
        <f>DATE('MODELO 5'!$A9,'MODELO 5'!$B9,1)</f>
        <v>12/1/2023</v>
      </c>
      <c r="D9" s="7">
        <v>543.0</v>
      </c>
      <c r="E9" s="7">
        <v>12.0</v>
      </c>
      <c r="F9" s="7">
        <v>4.763164063310631</v>
      </c>
      <c r="I9" s="11" t="s">
        <v>61</v>
      </c>
      <c r="J9" s="11">
        <v>35.0</v>
      </c>
    </row>
    <row r="10" ht="22.5" customHeight="1">
      <c r="A10" s="7">
        <v>2024.0</v>
      </c>
      <c r="B10" s="7">
        <v>1.0</v>
      </c>
      <c r="C10" s="8" t="str">
        <f>DATE('MODELO 5'!$A10,'MODELO 5'!$B10,1)</f>
        <v>1/1/2024</v>
      </c>
      <c r="D10" s="7">
        <v>502.0</v>
      </c>
      <c r="E10" s="7">
        <v>12.0</v>
      </c>
      <c r="F10" s="7">
        <v>4.248212864275507</v>
      </c>
    </row>
    <row r="11" ht="22.5" customHeight="1">
      <c r="A11" s="7">
        <v>2024.0</v>
      </c>
      <c r="B11" s="7">
        <v>2.0</v>
      </c>
      <c r="C11" s="8" t="str">
        <f>DATE('MODELO 5'!$A11,'MODELO 5'!$B11,1)</f>
        <v>2/1/2024</v>
      </c>
      <c r="D11" s="7">
        <v>403.0</v>
      </c>
      <c r="E11" s="7">
        <v>12.0</v>
      </c>
      <c r="F11" s="7">
        <v>4.188743564259854</v>
      </c>
      <c r="I11" t="s">
        <v>62</v>
      </c>
    </row>
    <row r="12" ht="22.5" customHeight="1">
      <c r="A12" s="7">
        <v>2024.0</v>
      </c>
      <c r="B12" s="7">
        <v>3.0</v>
      </c>
      <c r="C12" s="8" t="str">
        <f>DATE('MODELO 5'!$A12,'MODELO 5'!$B12,1)</f>
        <v>3/1/2024</v>
      </c>
      <c r="D12" s="7">
        <v>427.0</v>
      </c>
      <c r="E12" s="7">
        <v>12.0</v>
      </c>
      <c r="F12" s="7">
        <v>4.457176428766919</v>
      </c>
      <c r="I12" s="10"/>
      <c r="J12" s="10" t="s">
        <v>63</v>
      </c>
      <c r="K12" s="10" t="s">
        <v>64</v>
      </c>
      <c r="L12" s="10" t="s">
        <v>65</v>
      </c>
      <c r="M12" s="10" t="s">
        <v>66</v>
      </c>
      <c r="N12" s="10" t="s">
        <v>67</v>
      </c>
    </row>
    <row r="13" ht="22.5" customHeight="1">
      <c r="A13" s="7">
        <v>2024.0</v>
      </c>
      <c r="B13" s="7">
        <v>4.0</v>
      </c>
      <c r="C13" s="8" t="str">
        <f>DATE('MODELO 5'!$A13,'MODELO 5'!$B13,1)</f>
        <v>4/1/2024</v>
      </c>
      <c r="D13" s="7">
        <v>567.0</v>
      </c>
      <c r="E13" s="7">
        <v>12.0</v>
      </c>
      <c r="F13" s="7">
        <v>4.450558720218585</v>
      </c>
      <c r="I13" t="s">
        <v>68</v>
      </c>
      <c r="J13">
        <v>1.0</v>
      </c>
      <c r="K13">
        <v>9892.287405475392</v>
      </c>
      <c r="L13">
        <v>9892.287405475392</v>
      </c>
      <c r="M13">
        <v>1.0790929946926828</v>
      </c>
      <c r="N13" s="13">
        <v>0.3064523433952959</v>
      </c>
    </row>
    <row r="14" ht="22.5" customHeight="1">
      <c r="A14" s="7">
        <v>2024.0</v>
      </c>
      <c r="B14" s="7">
        <v>5.0</v>
      </c>
      <c r="C14" s="8" t="str">
        <f>DATE('MODELO 5'!$A14,'MODELO 5'!$B14,1)</f>
        <v>5/1/2024</v>
      </c>
      <c r="D14" s="7">
        <v>563.0</v>
      </c>
      <c r="E14" s="7">
        <v>12.0</v>
      </c>
      <c r="F14" s="7">
        <v>4.513989338497695</v>
      </c>
      <c r="I14" t="s">
        <v>69</v>
      </c>
      <c r="J14">
        <v>33.0</v>
      </c>
      <c r="K14">
        <v>302518.3983088103</v>
      </c>
      <c r="L14">
        <v>9167.22419117607</v>
      </c>
    </row>
    <row r="15" ht="22.5" customHeight="1">
      <c r="A15" s="7">
        <v>2024.0</v>
      </c>
      <c r="B15" s="7">
        <v>6.0</v>
      </c>
      <c r="C15" s="8" t="str">
        <f>DATE('MODELO 5'!$A15,'MODELO 5'!$B15,1)</f>
        <v>6/1/2024</v>
      </c>
      <c r="D15" s="7">
        <v>573.0</v>
      </c>
      <c r="E15" s="7">
        <v>12.0</v>
      </c>
      <c r="F15" s="7">
        <v>4.266492943005196</v>
      </c>
      <c r="I15" s="11" t="s">
        <v>70</v>
      </c>
      <c r="J15" s="11">
        <v>34.0</v>
      </c>
      <c r="K15" s="11">
        <v>312410.6857142857</v>
      </c>
      <c r="L15" s="11"/>
      <c r="M15" s="11"/>
      <c r="N15" s="11"/>
    </row>
    <row r="16" ht="22.5" customHeight="1">
      <c r="A16" s="7">
        <v>2024.0</v>
      </c>
      <c r="B16" s="7">
        <v>7.0</v>
      </c>
      <c r="C16" s="8" t="str">
        <f>DATE('MODELO 5'!$A16,'MODELO 5'!$B16,1)</f>
        <v>7/1/2024</v>
      </c>
      <c r="D16" s="7">
        <v>600.0</v>
      </c>
      <c r="E16" s="7">
        <v>12.0</v>
      </c>
      <c r="F16" s="7">
        <v>4.315162675444072</v>
      </c>
    </row>
    <row r="17" ht="22.5" customHeight="1">
      <c r="A17" s="7">
        <v>2024.0</v>
      </c>
      <c r="B17" s="7">
        <v>8.0</v>
      </c>
      <c r="C17" s="8" t="str">
        <f>DATE('MODELO 5'!$A17,'MODELO 5'!$B17,1)</f>
        <v>8/1/2024</v>
      </c>
      <c r="D17" s="7">
        <v>677.0</v>
      </c>
      <c r="E17" s="7">
        <v>12.0</v>
      </c>
      <c r="F17" s="7">
        <v>4.495766820943085</v>
      </c>
      <c r="I17" s="10"/>
      <c r="J17" s="10" t="s">
        <v>71</v>
      </c>
      <c r="K17" s="10" t="s">
        <v>60</v>
      </c>
      <c r="L17" s="10" t="s">
        <v>72</v>
      </c>
      <c r="M17" s="10" t="s">
        <v>73</v>
      </c>
      <c r="N17" s="10" t="s">
        <v>74</v>
      </c>
      <c r="O17" s="10" t="s">
        <v>75</v>
      </c>
      <c r="P17" s="10" t="s">
        <v>76</v>
      </c>
      <c r="Q17" s="10" t="s">
        <v>77</v>
      </c>
    </row>
    <row r="18" ht="22.5" customHeight="1">
      <c r="A18" s="7">
        <v>2024.0</v>
      </c>
      <c r="B18" s="7">
        <v>9.0</v>
      </c>
      <c r="C18" s="8" t="str">
        <f>DATE('MODELO 5'!$A18,'MODELO 5'!$B18,1)</f>
        <v>9/1/2024</v>
      </c>
      <c r="D18" s="7">
        <v>590.0</v>
      </c>
      <c r="E18" s="7">
        <v>12.0</v>
      </c>
      <c r="F18" s="7">
        <v>4.335216828208629</v>
      </c>
      <c r="I18" t="s">
        <v>78</v>
      </c>
      <c r="J18">
        <v>405.53000023035816</v>
      </c>
      <c r="K18">
        <v>150.29031912993736</v>
      </c>
      <c r="L18">
        <v>2.6983108597949466</v>
      </c>
      <c r="M18">
        <v>0.010897684041377167</v>
      </c>
      <c r="N18">
        <v>99.76204690195749</v>
      </c>
      <c r="O18">
        <v>711.2979535587588</v>
      </c>
      <c r="P18">
        <v>99.76204690195749</v>
      </c>
      <c r="Q18">
        <v>711.2979535587588</v>
      </c>
    </row>
    <row r="19" ht="22.5" customHeight="1">
      <c r="A19" s="7">
        <v>2024.0</v>
      </c>
      <c r="B19" s="7">
        <v>10.0</v>
      </c>
      <c r="C19" s="8" t="str">
        <f>DATE('MODELO 5'!$A19,'MODELO 5'!$B19,1)</f>
        <v>10/1/2024</v>
      </c>
      <c r="D19" s="7">
        <v>428.0</v>
      </c>
      <c r="E19" s="7">
        <v>12.0</v>
      </c>
      <c r="F19" s="7">
        <v>3.984498555823846</v>
      </c>
      <c r="I19" s="11" t="s">
        <v>21</v>
      </c>
      <c r="J19" s="14">
        <v>37.22895829715838</v>
      </c>
      <c r="K19" s="11">
        <v>35.83863398106672</v>
      </c>
      <c r="L19" s="11">
        <v>1.038794009750097</v>
      </c>
      <c r="M19" s="14">
        <v>0.3064523433952951</v>
      </c>
      <c r="N19" s="11">
        <v>-35.68529077700959</v>
      </c>
      <c r="O19" s="11">
        <v>110.14320737132635</v>
      </c>
      <c r="P19" s="11">
        <v>-35.68529077700959</v>
      </c>
      <c r="Q19" s="11">
        <v>110.14320737132635</v>
      </c>
    </row>
    <row r="20" ht="22.5" customHeight="1">
      <c r="A20" s="7">
        <v>2024.0</v>
      </c>
      <c r="B20" s="7">
        <v>11.0</v>
      </c>
      <c r="C20" s="8" t="str">
        <f>DATE('MODELO 5'!$A20,'MODELO 5'!$B20,1)</f>
        <v>11/1/2024</v>
      </c>
      <c r="D20" s="7">
        <v>368.0</v>
      </c>
      <c r="E20" s="7">
        <v>12.0</v>
      </c>
      <c r="F20" s="7">
        <v>3.9123095083220427</v>
      </c>
    </row>
    <row r="21" ht="22.5" customHeight="1">
      <c r="A21" s="7">
        <v>2024.0</v>
      </c>
      <c r="B21" s="7">
        <v>12.0</v>
      </c>
      <c r="C21" s="8" t="str">
        <f>DATE('MODELO 5'!$A21,'MODELO 5'!$B21,1)</f>
        <v>12/1/2024</v>
      </c>
      <c r="D21" s="7">
        <v>607.0</v>
      </c>
      <c r="E21" s="7">
        <v>12.0</v>
      </c>
      <c r="F21" s="7">
        <v>4.005990472727273</v>
      </c>
    </row>
    <row r="22" ht="22.5" customHeight="1">
      <c r="A22" s="7">
        <v>2025.0</v>
      </c>
      <c r="B22" s="7">
        <v>1.0</v>
      </c>
      <c r="C22" s="8" t="str">
        <f>DATE('MODELO 5'!$A22,'MODELO 5'!$B22,1)</f>
        <v>1/1/2025</v>
      </c>
      <c r="D22" s="7">
        <v>583.0</v>
      </c>
      <c r="E22" s="7">
        <v>12.0</v>
      </c>
      <c r="F22" s="7">
        <v>4.1817297425286775</v>
      </c>
    </row>
    <row r="23" ht="22.5" customHeight="1">
      <c r="A23" s="7">
        <v>2025.0</v>
      </c>
      <c r="B23" s="7">
        <v>2.0</v>
      </c>
      <c r="C23" s="8" t="str">
        <f>DATE('MODELO 5'!$A23,'MODELO 5'!$B23,1)</f>
        <v>2/1/2025</v>
      </c>
      <c r="D23" s="7">
        <v>550.0</v>
      </c>
      <c r="E23" s="7">
        <v>12.0</v>
      </c>
      <c r="F23" s="7">
        <v>4.528817674388587</v>
      </c>
      <c r="I23" t="s">
        <v>79</v>
      </c>
    </row>
    <row r="24" ht="22.5" customHeight="1">
      <c r="A24" s="7">
        <v>2025.0</v>
      </c>
      <c r="B24" s="7">
        <v>3.0</v>
      </c>
      <c r="C24" s="8" t="str">
        <f>DATE('MODELO 5'!$A24,'MODELO 5'!$B24,1)</f>
        <v>3/1/2025</v>
      </c>
      <c r="D24" s="7">
        <v>580.0</v>
      </c>
      <c r="E24" s="7">
        <v>12.0</v>
      </c>
      <c r="F24" s="7">
        <v>4.24987367599767</v>
      </c>
    </row>
    <row r="25" ht="22.5" customHeight="1">
      <c r="A25" s="7">
        <v>2025.0</v>
      </c>
      <c r="B25" s="7">
        <v>4.0</v>
      </c>
      <c r="C25" s="8" t="str">
        <f>DATE('MODELO 5'!$A25,'MODELO 5'!$B25,1)</f>
        <v>4/1/2025</v>
      </c>
      <c r="D25" s="7">
        <v>522.0</v>
      </c>
      <c r="E25" s="7">
        <v>12.0</v>
      </c>
      <c r="F25" s="7">
        <v>3.8907303369321133</v>
      </c>
      <c r="I25" s="10" t="s">
        <v>81</v>
      </c>
      <c r="J25" s="10" t="s">
        <v>82</v>
      </c>
      <c r="K25" s="10" t="s">
        <v>83</v>
      </c>
      <c r="L25" s="10" t="s">
        <v>84</v>
      </c>
    </row>
    <row r="26" ht="22.5" customHeight="1">
      <c r="A26" s="7">
        <v>2025.0</v>
      </c>
      <c r="B26" s="7">
        <v>5.0</v>
      </c>
      <c r="C26" s="8" t="str">
        <f>DATE('MODELO 5'!$A26,'MODELO 5'!$B26,1)</f>
        <v>5/1/2025</v>
      </c>
      <c r="D26" s="7">
        <v>598.0</v>
      </c>
      <c r="E26" s="7">
        <v>12.0</v>
      </c>
      <c r="F26" s="7">
        <v>3.8596960223755596</v>
      </c>
      <c r="I26">
        <v>1.0</v>
      </c>
      <c r="J26">
        <v>590.4866849845073</v>
      </c>
      <c r="K26">
        <v>-38.48668498450729</v>
      </c>
      <c r="L26">
        <v>-0.4080130627672901</v>
      </c>
    </row>
    <row r="27" ht="22.5" customHeight="1">
      <c r="A27" s="7">
        <v>2025.0</v>
      </c>
      <c r="B27" s="7">
        <v>6.0</v>
      </c>
      <c r="C27" s="8" t="str">
        <f>DATE('MODELO 5'!$A27,'MODELO 5'!$B27,1)</f>
        <v>6/1/2025</v>
      </c>
      <c r="D27" s="7">
        <v>594.0</v>
      </c>
      <c r="E27" s="7">
        <v>12.0</v>
      </c>
      <c r="F27" s="7">
        <v>3.6218383039038855</v>
      </c>
      <c r="I27">
        <v>2.0</v>
      </c>
      <c r="J27">
        <v>588.5466751387495</v>
      </c>
      <c r="K27">
        <v>-49.54667513874949</v>
      </c>
      <c r="L27">
        <v>-0.5252645345119981</v>
      </c>
    </row>
    <row r="28" ht="22.5" customHeight="1">
      <c r="A28" s="7">
        <v>2025.0</v>
      </c>
      <c r="B28" s="7">
        <v>7.0</v>
      </c>
      <c r="C28" s="8" t="str">
        <f>DATE('MODELO 5'!$A28,'MODELO 5'!$B28,1)</f>
        <v>7/1/2025</v>
      </c>
      <c r="D28" s="7">
        <v>698.0</v>
      </c>
      <c r="E28" s="7">
        <v>12.0</v>
      </c>
      <c r="F28" s="7">
        <v>3.6381038851988143</v>
      </c>
      <c r="I28">
        <v>3.0</v>
      </c>
      <c r="J28">
        <v>551.7396394740482</v>
      </c>
      <c r="K28">
        <v>105.2603605259518</v>
      </c>
      <c r="L28">
        <v>1.1159080628396858</v>
      </c>
    </row>
    <row r="29" ht="22.5" customHeight="1">
      <c r="A29" s="7">
        <v>2025.0</v>
      </c>
      <c r="B29" s="7">
        <v>8.0</v>
      </c>
      <c r="C29" s="8" t="str">
        <f>DATE('MODELO 5'!$A29,'MODELO 5'!$B29,1)</f>
        <v>8/1/2025</v>
      </c>
      <c r="D29" s="7">
        <v>645.0</v>
      </c>
      <c r="E29" s="7">
        <v>12.0</v>
      </c>
      <c r="F29" s="7">
        <v>3.790171239201465</v>
      </c>
      <c r="I29">
        <v>4.0</v>
      </c>
      <c r="J29">
        <v>557.1519355998233</v>
      </c>
      <c r="K29">
        <v>67.84806440017667</v>
      </c>
      <c r="L29">
        <v>0.7192850350684165</v>
      </c>
    </row>
    <row r="30" ht="22.5" customHeight="1">
      <c r="A30" s="7">
        <v>2025.0</v>
      </c>
      <c r="B30" s="7">
        <v>9.0</v>
      </c>
      <c r="C30" s="8" t="str">
        <f>DATE('MODELO 5'!$A30,'MODELO 5'!$B30,1)</f>
        <v>9/1/2025</v>
      </c>
      <c r="D30" s="7">
        <v>741.0</v>
      </c>
      <c r="E30" s="7">
        <v>12.0</v>
      </c>
      <c r="F30" s="7">
        <v>3.6670320594342214</v>
      </c>
      <c r="I30">
        <v>5.0</v>
      </c>
      <c r="J30">
        <v>580.7361417589707</v>
      </c>
      <c r="K30">
        <v>104.26385824102931</v>
      </c>
      <c r="L30">
        <v>1.1053437352160025</v>
      </c>
    </row>
    <row r="31" ht="22.5" customHeight="1">
      <c r="A31" s="7">
        <v>2025.0</v>
      </c>
      <c r="B31" s="7">
        <v>10.0</v>
      </c>
      <c r="C31" s="8" t="str">
        <f>DATE('MODELO 5'!$A31,'MODELO 5'!$B31,1)</f>
        <v>10/1/2025</v>
      </c>
      <c r="D31" s="7">
        <v>626.0</v>
      </c>
      <c r="E31" s="7">
        <v>12.0</v>
      </c>
      <c r="F31" s="7">
        <v>3.6709379206264727</v>
      </c>
      <c r="I31">
        <v>6.0</v>
      </c>
      <c r="J31">
        <v>595.0796909185464</v>
      </c>
      <c r="K31">
        <v>62.92030908145364</v>
      </c>
      <c r="L31">
        <v>0.6670438887870637</v>
      </c>
    </row>
    <row r="32" ht="22.5" customHeight="1">
      <c r="A32" s="7">
        <v>2025.0</v>
      </c>
      <c r="B32" s="7">
        <v>11.0</v>
      </c>
      <c r="C32" s="8" t="str">
        <f>DATE('MODELO 5'!$A32,'MODELO 5'!$B32,1)</f>
        <v>11/1/2025</v>
      </c>
      <c r="D32" s="7">
        <v>501.0</v>
      </c>
      <c r="E32" s="7">
        <v>12.0</v>
      </c>
      <c r="F32" s="7">
        <v>3.703495673755309</v>
      </c>
      <c r="I32">
        <v>7.0</v>
      </c>
      <c r="J32">
        <v>592.8516643324941</v>
      </c>
      <c r="K32">
        <v>39.148335667505876</v>
      </c>
      <c r="L32">
        <v>0.415027491829211</v>
      </c>
    </row>
    <row r="33" ht="22.5" customHeight="1">
      <c r="A33" s="7">
        <v>2025.0</v>
      </c>
      <c r="B33" s="7">
        <v>12.0</v>
      </c>
      <c r="C33" s="8" t="str">
        <f>DATE('MODELO 5'!$A33,'MODELO 5'!$B33,1)</f>
        <v>12/1/2025</v>
      </c>
      <c r="D33" s="7">
        <v>411.0</v>
      </c>
      <c r="E33" s="7">
        <v>12.0</v>
      </c>
      <c r="F33" s="7">
        <v>3.833290968731469</v>
      </c>
      <c r="I33">
        <v>8.0</v>
      </c>
      <c r="J33">
        <v>582.8576365058731</v>
      </c>
      <c r="K33">
        <v>-39.857636505873074</v>
      </c>
      <c r="L33">
        <v>-0.4225470796451558</v>
      </c>
    </row>
    <row r="34" ht="22.5" customHeight="1">
      <c r="A34" s="7">
        <v>2026.0</v>
      </c>
      <c r="B34" s="7">
        <v>1.0</v>
      </c>
      <c r="C34" s="8" t="str">
        <f>DATE('MODELO 5'!$A34,'MODELO 5'!$B34,1)</f>
        <v>1/1/2026</v>
      </c>
      <c r="D34" s="7">
        <v>386.0</v>
      </c>
      <c r="E34" s="7">
        <v>12.0</v>
      </c>
      <c r="F34" s="7">
        <v>3.5321786733883345</v>
      </c>
      <c r="I34">
        <v>9.0</v>
      </c>
      <c r="J34">
        <v>563.6865397919228</v>
      </c>
      <c r="K34">
        <v>-61.68653979192277</v>
      </c>
      <c r="L34">
        <v>-0.6539641967644239</v>
      </c>
    </row>
    <row r="35" ht="22.5" customHeight="1">
      <c r="A35" s="7">
        <v>2026.0</v>
      </c>
      <c r="B35" s="7">
        <v>2.0</v>
      </c>
      <c r="C35" s="8" t="str">
        <f>DATE('MODELO 5'!$A35,'MODELO 5'!$B35,1)</f>
        <v>2/1/2026</v>
      </c>
      <c r="D35" s="7">
        <v>406.0</v>
      </c>
      <c r="E35" s="7">
        <v>12.0</v>
      </c>
      <c r="F35" s="7">
        <v>3.4428723313069622</v>
      </c>
      <c r="I35">
        <v>10.0</v>
      </c>
      <c r="J35">
        <v>561.4725597016788</v>
      </c>
      <c r="K35">
        <v>-158.47255970167885</v>
      </c>
      <c r="L35">
        <v>-1.6800323144090605</v>
      </c>
    </row>
    <row r="36" ht="22.5" customHeight="1">
      <c r="A36" s="7">
        <v>2026.0</v>
      </c>
      <c r="B36" s="7">
        <v>3.0</v>
      </c>
      <c r="C36" s="8" t="str">
        <f>DATE('MODELO 5'!$A36,'MODELO 5'!$B36,1)</f>
        <v>3/1/2026</v>
      </c>
      <c r="D36" s="7">
        <v>589.0</v>
      </c>
      <c r="E36" s="7">
        <v>12.0</v>
      </c>
      <c r="F36" s="7">
        <v>3.65865</v>
      </c>
      <c r="I36">
        <v>11.0</v>
      </c>
      <c r="J36">
        <v>571.466035619999</v>
      </c>
      <c r="K36">
        <v>-144.46603561999905</v>
      </c>
      <c r="L36">
        <v>-1.5315434333430378</v>
      </c>
    </row>
    <row r="37" ht="15.75" customHeight="1">
      <c r="I37">
        <v>12.0</v>
      </c>
      <c r="J37">
        <v>571.2196652244304</v>
      </c>
      <c r="K37">
        <v>-4.2196652244304005</v>
      </c>
      <c r="L37">
        <v>-0.04473439405772488</v>
      </c>
    </row>
    <row r="38" ht="15.75" customHeight="1">
      <c r="I38">
        <v>13.0</v>
      </c>
      <c r="J38">
        <v>573.5811210671063</v>
      </c>
      <c r="K38">
        <v>-10.581121067106324</v>
      </c>
      <c r="L38">
        <v>-0.11217478501563435</v>
      </c>
    </row>
    <row r="39" ht="15.75" customHeight="1">
      <c r="I39">
        <v>14.0</v>
      </c>
      <c r="J39">
        <v>564.3670880806192</v>
      </c>
      <c r="K39">
        <v>8.632911919380831</v>
      </c>
      <c r="L39">
        <v>0.09152102432944605</v>
      </c>
    </row>
    <row r="40" ht="15.75" customHeight="1">
      <c r="I40">
        <v>15.0</v>
      </c>
      <c r="J40">
        <v>566.1790115199199</v>
      </c>
      <c r="K40">
        <v>33.82098848008013</v>
      </c>
      <c r="L40">
        <v>0.3585501089826168</v>
      </c>
    </row>
    <row r="41" ht="15.75" customHeight="1">
      <c r="I41">
        <v>16.0</v>
      </c>
      <c r="J41">
        <v>572.9027157209965</v>
      </c>
      <c r="K41">
        <v>104.09728427900347</v>
      </c>
      <c r="L41">
        <v>1.103577816627514</v>
      </c>
    </row>
    <row r="42" ht="15.75" customHeight="1">
      <c r="I42">
        <v>17.0</v>
      </c>
      <c r="J42">
        <v>566.9256067368764</v>
      </c>
      <c r="K42">
        <v>23.074393263123625</v>
      </c>
      <c r="L42">
        <v>0.2446210649364537</v>
      </c>
    </row>
    <row r="43" ht="15.75" customHeight="1">
      <c r="I43">
        <v>18.0</v>
      </c>
      <c r="J43">
        <v>553.8687308002119</v>
      </c>
      <c r="K43">
        <v>-125.86873080021189</v>
      </c>
      <c r="L43">
        <v>-1.334385811121411</v>
      </c>
    </row>
    <row r="44" ht="15.75" customHeight="1">
      <c r="I44">
        <v>19.0</v>
      </c>
      <c r="J44">
        <v>551.1812077612557</v>
      </c>
      <c r="K44">
        <v>-183.18120776125568</v>
      </c>
      <c r="L44">
        <v>-1.9419787817570604</v>
      </c>
    </row>
    <row r="45" ht="15.75" customHeight="1">
      <c r="I45">
        <v>20.0</v>
      </c>
      <c r="J45">
        <v>554.6688524783356</v>
      </c>
      <c r="K45">
        <v>52.331147521664434</v>
      </c>
      <c r="L45">
        <v>0.5547838632253282</v>
      </c>
    </row>
    <row r="46" ht="15.75" customHeight="1">
      <c r="I46">
        <v>21.0</v>
      </c>
      <c r="J46">
        <v>561.2114424249451</v>
      </c>
      <c r="K46">
        <v>21.788557575054938</v>
      </c>
      <c r="L46">
        <v>0.23098939576267105</v>
      </c>
    </row>
    <row r="47" ht="15.75" customHeight="1">
      <c r="I47">
        <v>22.0</v>
      </c>
      <c r="J47">
        <v>574.1331645656046</v>
      </c>
      <c r="K47">
        <v>-24.133164565604602</v>
      </c>
      <c r="L47">
        <v>-0.25584553184154757</v>
      </c>
    </row>
    <row r="48" ht="15.75" customHeight="1">
      <c r="I48">
        <v>23.0</v>
      </c>
      <c r="J48">
        <v>563.7483700822665</v>
      </c>
      <c r="K48">
        <v>16.251629917733453</v>
      </c>
      <c r="L48">
        <v>0.1722901647768362</v>
      </c>
    </row>
    <row r="49" ht="15.75" customHeight="1">
      <c r="I49">
        <v>24.0</v>
      </c>
      <c r="J49">
        <v>550.3778376894927</v>
      </c>
      <c r="K49">
        <v>-28.377837689492708</v>
      </c>
      <c r="L49">
        <v>-0.3008450448528852</v>
      </c>
    </row>
    <row r="50" ht="15.75" customHeight="1">
      <c r="I50">
        <v>25.0</v>
      </c>
      <c r="J50">
        <v>549.222462487086</v>
      </c>
      <c r="K50">
        <v>48.77753751291402</v>
      </c>
      <c r="L50">
        <v>0.5171105924789802</v>
      </c>
    </row>
    <row r="51" ht="15.75" customHeight="1">
      <c r="I51">
        <v>26.0</v>
      </c>
      <c r="J51">
        <v>540.3672674054467</v>
      </c>
      <c r="K51">
        <v>53.63273259455332</v>
      </c>
      <c r="L51">
        <v>0.5685824980585273</v>
      </c>
    </row>
    <row r="52" ht="15.75" customHeight="1">
      <c r="I52">
        <v>27.0</v>
      </c>
      <c r="J52">
        <v>540.9728180531547</v>
      </c>
      <c r="K52">
        <v>157.0271819468453</v>
      </c>
      <c r="L52">
        <v>1.6647092746397807</v>
      </c>
    </row>
    <row r="53" ht="15.75" customHeight="1">
      <c r="I53">
        <v>28.0</v>
      </c>
      <c r="J53">
        <v>546.6341272336786</v>
      </c>
      <c r="K53">
        <v>98.36587276632144</v>
      </c>
      <c r="L53">
        <v>1.0428167828775183</v>
      </c>
    </row>
    <row r="54" ht="15.75" customHeight="1">
      <c r="I54">
        <v>29.0</v>
      </c>
      <c r="J54">
        <v>542.0497838453775</v>
      </c>
      <c r="K54">
        <v>198.95021615462247</v>
      </c>
      <c r="L54">
        <v>2.109152478685509</v>
      </c>
    </row>
    <row r="55" ht="15.75" customHeight="1">
      <c r="I55">
        <v>30.0</v>
      </c>
      <c r="J55">
        <v>542.1951949888185</v>
      </c>
      <c r="K55">
        <v>83.80480501118154</v>
      </c>
      <c r="L55">
        <v>0.8884489578926376</v>
      </c>
    </row>
    <row r="56" ht="15.75" customHeight="1">
      <c r="I56">
        <v>31.0</v>
      </c>
      <c r="J56">
        <v>543.4072862223011</v>
      </c>
      <c r="K56">
        <v>-42.40728622230108</v>
      </c>
      <c r="L56">
        <v>-0.4495769573860501</v>
      </c>
    </row>
    <row r="57" ht="15.75" customHeight="1">
      <c r="I57">
        <v>32.0</v>
      </c>
      <c r="J57">
        <v>548.2394298461359</v>
      </c>
      <c r="K57">
        <v>-137.23942984613586</v>
      </c>
      <c r="L57">
        <v>-1.4549312346984253</v>
      </c>
    </row>
    <row r="58" ht="15.75" customHeight="1">
      <c r="I58">
        <v>33.0</v>
      </c>
      <c r="J58">
        <v>537.0293327600447</v>
      </c>
      <c r="K58">
        <v>-151.02933276004467</v>
      </c>
      <c r="L58">
        <v>-1.6011236263121074</v>
      </c>
    </row>
    <row r="59" ht="15.75" customHeight="1">
      <c r="I59">
        <v>34.0</v>
      </c>
      <c r="J59">
        <v>533.7045506750255</v>
      </c>
      <c r="K59">
        <v>-127.70455067502553</v>
      </c>
      <c r="L59">
        <v>-1.353848087233612</v>
      </c>
    </row>
    <row r="60" ht="15.75" customHeight="1">
      <c r="I60" s="11">
        <v>35.0</v>
      </c>
      <c r="J60" s="11">
        <v>541.7377285042567</v>
      </c>
      <c r="K60" s="11">
        <v>47.262271495743335</v>
      </c>
      <c r="L60" s="11">
        <v>0.5010466387032294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I4:J4"/>
  </mergeCells>
  <dataValidations>
    <dataValidation type="custom" allowBlank="1" showDropDown="1" sqref="A2:D36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METADADOS</vt:lpstr>
      <vt:lpstr>AD</vt:lpstr>
      <vt:lpstr>DADOS</vt:lpstr>
      <vt:lpstr>CORRELAÇÃO</vt:lpstr>
      <vt:lpstr>MODELO 1</vt:lpstr>
      <vt:lpstr>MODELO 2</vt:lpstr>
      <vt:lpstr>MODELO 3</vt:lpstr>
      <vt:lpstr>MODELO 4</vt:lpstr>
      <vt:lpstr>MODELO 5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Almeida</cp:lastModifiedBy>
  <dcterms:modified xsi:type="dcterms:W3CDTF">2026-04-24T12:41:12Z</dcterms:modified>
</cp:coreProperties>
</file>