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61ec4994c6b87/ITA/Doutorado/IT214/"/>
    </mc:Choice>
  </mc:AlternateContent>
  <xr:revisionPtr revIDLastSave="204" documentId="13_ncr:1_{1A42BAC3-40C4-4DFF-B987-CFF591449933}" xr6:coauthVersionLast="47" xr6:coauthVersionMax="47" xr10:uidLastSave="{88B2F0CB-C1C2-489C-9FF8-2666BA4ED46F}"/>
  <bookViews>
    <workbookView xWindow="-110" yWindow="-110" windowWidth="25820" windowHeight="15500" activeTab="1" xr2:uid="{45A9354F-9889-413F-892A-F498EB9832E7}"/>
  </bookViews>
  <sheets>
    <sheet name="hora pico" sheetId="1" r:id="rId1"/>
    <sheet name="áre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9" i="2" l="1"/>
  <c r="B87" i="2"/>
  <c r="B83" i="2"/>
  <c r="B82" i="2"/>
  <c r="B81" i="2"/>
  <c r="B80" i="2"/>
  <c r="B79" i="2"/>
  <c r="B78" i="2"/>
  <c r="B77" i="2"/>
  <c r="B76" i="2"/>
  <c r="B71" i="2"/>
  <c r="B58" i="2"/>
  <c r="B30" i="2"/>
  <c r="B22" i="2"/>
  <c r="B12" i="2"/>
  <c r="B14" i="2"/>
  <c r="B2" i="2"/>
  <c r="B84" i="1"/>
  <c r="B77" i="1"/>
  <c r="C66" i="1"/>
  <c r="D66" i="1"/>
  <c r="B66" i="1"/>
  <c r="E66" i="1" s="1"/>
  <c r="B69" i="1" s="1"/>
  <c r="B70" i="1" s="1"/>
  <c r="B81" i="1" s="1"/>
  <c r="B65" i="2" l="1"/>
  <c r="B66" i="2" s="1"/>
  <c r="B16" i="2"/>
  <c r="B41" i="2"/>
  <c r="B24" i="2"/>
  <c r="B26" i="2" s="1"/>
  <c r="B18" i="2"/>
  <c r="B36" i="2"/>
  <c r="B34" i="2"/>
  <c r="B6" i="2"/>
  <c r="B8" i="2"/>
  <c r="B72" i="2" l="1"/>
  <c r="B59" i="2"/>
  <c r="B60" i="2" s="1"/>
  <c r="B53" i="2"/>
  <c r="B75" i="2" l="1"/>
</calcChain>
</file>

<file path=xl/sharedStrings.xml><?xml version="1.0" encoding="utf-8"?>
<sst xmlns="http://schemas.openxmlformats.org/spreadsheetml/2006/main" count="96" uniqueCount="78">
  <si>
    <t>Taxa pico por hora de SBBR (movimento total)</t>
  </si>
  <si>
    <t>Movimento total por ano SBBR</t>
  </si>
  <si>
    <t>Movimento total de HEL por ano SBBR</t>
  </si>
  <si>
    <t>MOV TOTAL</t>
  </si>
  <si>
    <t>MOV HEL</t>
  </si>
  <si>
    <t>% HEL</t>
  </si>
  <si>
    <t>TAXA PICO HEL</t>
  </si>
  <si>
    <t>TAXA PICO POR HORA</t>
  </si>
  <si>
    <t>CAPACIDADE</t>
  </si>
  <si>
    <t>FATO</t>
  </si>
  <si>
    <t>STAND</t>
  </si>
  <si>
    <t>TEMPO POR CICLO</t>
  </si>
  <si>
    <t>PASSAGEIRO/EVTOL</t>
  </si>
  <si>
    <t>CAPACIDADE VERTIPORTO</t>
  </si>
  <si>
    <t>CAPACIDADE &gt; DEMANDA PICO</t>
  </si>
  <si>
    <t>OK</t>
  </si>
  <si>
    <t>DEMANDA PICO DE PASSAGEIROS</t>
  </si>
  <si>
    <t>FATOR DE OCUPAÇÃO</t>
  </si>
  <si>
    <t>SAGUÃO DE EMBARQUE</t>
  </si>
  <si>
    <t>Área</t>
  </si>
  <si>
    <t>Pax Hora Pico</t>
  </si>
  <si>
    <t>Taxa de acompanhante</t>
  </si>
  <si>
    <t>Taxa de visitante</t>
  </si>
  <si>
    <t>Índice de dimensionamento</t>
  </si>
  <si>
    <t>Quantidade de assentos</t>
  </si>
  <si>
    <t>Assentos</t>
  </si>
  <si>
    <t>CHECK-IN</t>
  </si>
  <si>
    <t>Capacidade de atendimento (15 min)</t>
  </si>
  <si>
    <t>Balcôes</t>
  </si>
  <si>
    <t>Largura por balcão</t>
  </si>
  <si>
    <t>Largura total (m)</t>
  </si>
  <si>
    <t>Parâmetro área</t>
  </si>
  <si>
    <t>RAIO-X</t>
  </si>
  <si>
    <t>Capacidade de processamento</t>
  </si>
  <si>
    <t>Equipamentos</t>
  </si>
  <si>
    <t>SAGUÃO DE DESEMBARQUE</t>
  </si>
  <si>
    <t>MEIO FIO</t>
  </si>
  <si>
    <t>Comprimento de onibus</t>
  </si>
  <si>
    <t>Usuários (embarque + desembarque)</t>
  </si>
  <si>
    <t>Proporção de usuários de automóvel</t>
  </si>
  <si>
    <t>Número de usuários por automóvel</t>
  </si>
  <si>
    <t>Comprimento do automóvel</t>
  </si>
  <si>
    <t>Proporção dos carros que vão direto estacionamento</t>
  </si>
  <si>
    <t>Proporção de taxi e uber</t>
  </si>
  <si>
    <t>Tempo de permanência no meio fio automóvel</t>
  </si>
  <si>
    <t>Tempo de permanência no meio fio taxi ou uber</t>
  </si>
  <si>
    <t>Comprimento do taxi ou uber</t>
  </si>
  <si>
    <t>Proporção de usuários de bus</t>
  </si>
  <si>
    <t>Tempo de permanência no meio fio bus</t>
  </si>
  <si>
    <t>Comprimento do meio fio</t>
  </si>
  <si>
    <t>Número de usuários por taxi ou uber</t>
  </si>
  <si>
    <t>ESTACIONAMENTO</t>
  </si>
  <si>
    <t>Número médio de automóveis que usam estacionamento</t>
  </si>
  <si>
    <t>Número de vagas</t>
  </si>
  <si>
    <t>COMPONENTES NÃO OPERACIONAIS</t>
  </si>
  <si>
    <t>Parâmetro por pax embarcado</t>
  </si>
  <si>
    <t>Pax embarcado</t>
  </si>
  <si>
    <t>Área Administração do vertiporto</t>
  </si>
  <si>
    <t>Parâmetro funcionário Empresa</t>
  </si>
  <si>
    <t>Parâmetro gerente Empresa</t>
  </si>
  <si>
    <t>Funcionários</t>
  </si>
  <si>
    <t>Gerentes</t>
  </si>
  <si>
    <t>Área Administrativa empresa</t>
  </si>
  <si>
    <t>Usuários totais</t>
  </si>
  <si>
    <t>Taxa de uso coworking</t>
  </si>
  <si>
    <t>Parâmetro de área</t>
  </si>
  <si>
    <t>Área total coworking</t>
  </si>
  <si>
    <t>Área de reunião</t>
  </si>
  <si>
    <t>Parâmetro de área individual</t>
  </si>
  <si>
    <t>Área convivência</t>
  </si>
  <si>
    <t>Circulação</t>
  </si>
  <si>
    <t>Sanitários masc</t>
  </si>
  <si>
    <t>Sanitários fem</t>
  </si>
  <si>
    <t>Área WC masculino</t>
  </si>
  <si>
    <t>Área WC feminino</t>
  </si>
  <si>
    <t>ÁREA TPS</t>
  </si>
  <si>
    <t>Pax Embarcado e Desembarcado</t>
  </si>
  <si>
    <t>Área total do 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</si>
</sst>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0" fontId="0" fillId="0" borderId="0" xfId="1" applyNumberFormat="1" applyFont="1"/>
    <xf numFmtId="10" fontId="0" fillId="0" borderId="0" xfId="0" applyNumberFormat="1"/>
    <xf numFmtId="10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9" fontId="0" fillId="0" borderId="0" xfId="0" applyNumberFormat="1"/>
    <xf numFmtId="0" fontId="0" fillId="0" borderId="0" xfId="0" applyNumberFormat="1"/>
    <xf numFmtId="2" fontId="2" fillId="0" borderId="0" xfId="0" applyNumberFormat="1" applyFont="1"/>
    <xf numFmtId="0" fontId="0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1</xdr:row>
      <xdr:rowOff>142876</xdr:rowOff>
    </xdr:from>
    <xdr:to>
      <xdr:col>14</xdr:col>
      <xdr:colOff>66676</xdr:colOff>
      <xdr:row>27</xdr:row>
      <xdr:rowOff>178954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8FCFE-DAC2-A7BD-D616-2AAC60EFD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333376"/>
          <a:ext cx="9963150" cy="4989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14</xdr:col>
      <xdr:colOff>47625</xdr:colOff>
      <xdr:row>44</xdr:row>
      <xdr:rowOff>17319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2B808B-7655-FE03-E1DA-54D4241D4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500"/>
          <a:ext cx="10058400" cy="24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48</xdr:row>
      <xdr:rowOff>0</xdr:rowOff>
    </xdr:from>
    <xdr:to>
      <xdr:col>14</xdr:col>
      <xdr:colOff>123826</xdr:colOff>
      <xdr:row>61</xdr:row>
      <xdr:rowOff>20431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32DF1E-A5F9-24F9-AE07-60A0C15E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9144000"/>
          <a:ext cx="10134600" cy="2496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12</xdr:col>
      <xdr:colOff>273252</xdr:colOff>
      <xdr:row>9</xdr:row>
      <xdr:rowOff>120741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42A157-1E33-7968-DD90-94C64783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0"/>
          <a:ext cx="3930852" cy="17780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13</xdr:col>
      <xdr:colOff>514596</xdr:colOff>
      <xdr:row>19</xdr:row>
      <xdr:rowOff>165184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1F8E68-89DD-2F0E-83E0-EE03C275E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3200" y="2025650"/>
          <a:ext cx="4781796" cy="163838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15</xdr:col>
      <xdr:colOff>419404</xdr:colOff>
      <xdr:row>31</xdr:row>
      <xdr:rowOff>63598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DF1A47B-DFE0-BECF-3B9A-13E88B494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83200" y="3867150"/>
          <a:ext cx="5905804" cy="190509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13</xdr:col>
      <xdr:colOff>368507</xdr:colOff>
      <xdr:row>42</xdr:row>
      <xdr:rowOff>6436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F7A671C-CB90-D64D-4C79-0E9BF38DD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22950" y="6076950"/>
          <a:ext cx="4026107" cy="16637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12</xdr:col>
      <xdr:colOff>197048</xdr:colOff>
      <xdr:row>54</xdr:row>
      <xdr:rowOff>63598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DBB63A5-C303-3DA5-470A-B89DE0F5A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3350" y="8102600"/>
          <a:ext cx="3854648" cy="190509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11</xdr:col>
      <xdr:colOff>444648</xdr:colOff>
      <xdr:row>63</xdr:row>
      <xdr:rowOff>95331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4D84C74-5AA9-D93C-0DC2-36827156E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22950" y="10128250"/>
          <a:ext cx="2883048" cy="1568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A726-731B-4E44-80DD-742E8AEAD79F}">
  <dimension ref="A1:E84"/>
  <sheetViews>
    <sheetView topLeftCell="A58" workbookViewId="0">
      <selection activeCell="B84" sqref="B84"/>
    </sheetView>
  </sheetViews>
  <sheetFormatPr defaultRowHeight="14.5" x14ac:dyDescent="0.35"/>
  <cols>
    <col min="1" max="1" width="30.81640625" customWidth="1"/>
    <col min="2" max="2" width="9.54296875" bestFit="1" customWidth="1"/>
  </cols>
  <sheetData>
    <row r="1" spans="1:1" x14ac:dyDescent="0.35">
      <c r="A1" s="1" t="s">
        <v>0</v>
      </c>
    </row>
    <row r="30" spans="1:1" x14ac:dyDescent="0.35">
      <c r="A30" s="1" t="s">
        <v>1</v>
      </c>
    </row>
    <row r="47" spans="1:1" x14ac:dyDescent="0.35">
      <c r="A47" s="1" t="s">
        <v>2</v>
      </c>
    </row>
    <row r="63" spans="1:4" x14ac:dyDescent="0.35">
      <c r="B63">
        <v>2024</v>
      </c>
      <c r="C63">
        <v>2025</v>
      </c>
      <c r="D63">
        <v>2026</v>
      </c>
    </row>
    <row r="64" spans="1:4" x14ac:dyDescent="0.35">
      <c r="A64" t="s">
        <v>3</v>
      </c>
      <c r="B64">
        <v>147957</v>
      </c>
      <c r="C64">
        <v>157135</v>
      </c>
      <c r="D64">
        <v>65048</v>
      </c>
    </row>
    <row r="65" spans="1:5" x14ac:dyDescent="0.35">
      <c r="A65" t="s">
        <v>4</v>
      </c>
      <c r="B65">
        <v>6305</v>
      </c>
      <c r="C65">
        <v>7049</v>
      </c>
      <c r="D65">
        <v>2526</v>
      </c>
    </row>
    <row r="66" spans="1:5" x14ac:dyDescent="0.35">
      <c r="A66" t="s">
        <v>5</v>
      </c>
      <c r="B66" s="2">
        <f>B65/B64</f>
        <v>4.2613732368188058E-2</v>
      </c>
      <c r="C66" s="2">
        <f t="shared" ref="C66:D66" si="0">C65/C64</f>
        <v>4.4859515703057878E-2</v>
      </c>
      <c r="D66" s="2">
        <f t="shared" si="0"/>
        <v>3.8832861886606812E-2</v>
      </c>
      <c r="E66" s="4">
        <f>AVERAGE(B66:D66)</f>
        <v>4.210203665261758E-2</v>
      </c>
    </row>
    <row r="68" spans="1:5" x14ac:dyDescent="0.35">
      <c r="A68" t="s">
        <v>7</v>
      </c>
      <c r="B68">
        <v>50</v>
      </c>
    </row>
    <row r="69" spans="1:5" x14ac:dyDescent="0.35">
      <c r="A69" t="s">
        <v>5</v>
      </c>
      <c r="B69" s="3">
        <f>E66</f>
        <v>4.210203665261758E-2</v>
      </c>
    </row>
    <row r="70" spans="1:5" x14ac:dyDescent="0.35">
      <c r="A70" s="1" t="s">
        <v>6</v>
      </c>
      <c r="B70" s="6">
        <f>B68*B69</f>
        <v>2.1051018326308792</v>
      </c>
    </row>
    <row r="73" spans="1:5" x14ac:dyDescent="0.35">
      <c r="A73" t="s">
        <v>8</v>
      </c>
    </row>
    <row r="74" spans="1:5" x14ac:dyDescent="0.35">
      <c r="A74" t="s">
        <v>9</v>
      </c>
      <c r="B74">
        <v>1</v>
      </c>
    </row>
    <row r="75" spans="1:5" x14ac:dyDescent="0.35">
      <c r="A75" t="s">
        <v>10</v>
      </c>
      <c r="B75">
        <v>1</v>
      </c>
    </row>
    <row r="76" spans="1:5" x14ac:dyDescent="0.35">
      <c r="A76" t="s">
        <v>11</v>
      </c>
      <c r="B76">
        <v>15</v>
      </c>
    </row>
    <row r="77" spans="1:5" x14ac:dyDescent="0.35">
      <c r="A77" s="1" t="s">
        <v>13</v>
      </c>
      <c r="B77" s="1">
        <f>(60/B76)*B75</f>
        <v>4</v>
      </c>
    </row>
    <row r="78" spans="1:5" x14ac:dyDescent="0.35">
      <c r="A78" s="1" t="s">
        <v>14</v>
      </c>
      <c r="B78" s="1" t="s">
        <v>15</v>
      </c>
    </row>
    <row r="80" spans="1:5" x14ac:dyDescent="0.35">
      <c r="A80" t="s">
        <v>16</v>
      </c>
    </row>
    <row r="81" spans="1:2" x14ac:dyDescent="0.35">
      <c r="A81" t="s">
        <v>6</v>
      </c>
      <c r="B81" s="5">
        <f>INT(B70)</f>
        <v>2</v>
      </c>
    </row>
    <row r="82" spans="1:2" x14ac:dyDescent="0.35">
      <c r="A82" t="s">
        <v>12</v>
      </c>
      <c r="B82">
        <v>4</v>
      </c>
    </row>
    <row r="83" spans="1:2" x14ac:dyDescent="0.35">
      <c r="A83" t="s">
        <v>17</v>
      </c>
      <c r="B83">
        <v>0.75</v>
      </c>
    </row>
    <row r="84" spans="1:2" x14ac:dyDescent="0.35">
      <c r="A84" s="1" t="s">
        <v>16</v>
      </c>
      <c r="B84" s="1">
        <f>B81*B82*B83</f>
        <v>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CA40-9990-4B05-965A-E8DCF50ED695}">
  <dimension ref="A1:B89"/>
  <sheetViews>
    <sheetView tabSelected="1" topLeftCell="A7" zoomScaleNormal="100" workbookViewId="0">
      <selection activeCell="D21" sqref="D21:D23"/>
    </sheetView>
  </sheetViews>
  <sheetFormatPr defaultRowHeight="14.5" x14ac:dyDescent="0.35"/>
  <cols>
    <col min="1" max="1" width="31" bestFit="1" customWidth="1"/>
  </cols>
  <sheetData>
    <row r="1" spans="1:2" x14ac:dyDescent="0.35">
      <c r="A1" s="1" t="s">
        <v>18</v>
      </c>
    </row>
    <row r="2" spans="1:2" x14ac:dyDescent="0.35">
      <c r="A2" t="s">
        <v>20</v>
      </c>
      <c r="B2">
        <f>'hora pico'!$B$84</f>
        <v>6</v>
      </c>
    </row>
    <row r="3" spans="1:2" x14ac:dyDescent="0.35">
      <c r="A3" t="s">
        <v>21</v>
      </c>
      <c r="B3">
        <v>0.5</v>
      </c>
    </row>
    <row r="4" spans="1:2" x14ac:dyDescent="0.35">
      <c r="A4" t="s">
        <v>22</v>
      </c>
      <c r="B4">
        <v>0.1</v>
      </c>
    </row>
    <row r="5" spans="1:2" x14ac:dyDescent="0.35">
      <c r="A5" t="s">
        <v>23</v>
      </c>
      <c r="B5">
        <v>2.2000000000000002</v>
      </c>
    </row>
    <row r="6" spans="1:2" x14ac:dyDescent="0.35">
      <c r="A6" s="1" t="s">
        <v>19</v>
      </c>
      <c r="B6" s="1">
        <f>B2*(1+B3+B4)*B5</f>
        <v>21.120000000000005</v>
      </c>
    </row>
    <row r="7" spans="1:2" x14ac:dyDescent="0.35">
      <c r="A7" t="s">
        <v>24</v>
      </c>
      <c r="B7" s="7">
        <v>0.7</v>
      </c>
    </row>
    <row r="8" spans="1:2" x14ac:dyDescent="0.35">
      <c r="A8" s="1" t="s">
        <v>25</v>
      </c>
      <c r="B8" s="1">
        <f>B2*(1+B3+B4)*B7</f>
        <v>6.7200000000000006</v>
      </c>
    </row>
    <row r="11" spans="1:2" x14ac:dyDescent="0.35">
      <c r="A11" s="1" t="s">
        <v>26</v>
      </c>
    </row>
    <row r="12" spans="1:2" x14ac:dyDescent="0.35">
      <c r="A12" t="s">
        <v>20</v>
      </c>
      <c r="B12">
        <f>'hora pico'!$B$84</f>
        <v>6</v>
      </c>
    </row>
    <row r="13" spans="1:2" x14ac:dyDescent="0.35">
      <c r="A13" t="s">
        <v>27</v>
      </c>
      <c r="B13">
        <v>10</v>
      </c>
    </row>
    <row r="14" spans="1:2" x14ac:dyDescent="0.35">
      <c r="A14" s="1" t="s">
        <v>28</v>
      </c>
      <c r="B14" s="1">
        <f>CEILING(B12/B13,1)</f>
        <v>1</v>
      </c>
    </row>
    <row r="15" spans="1:2" x14ac:dyDescent="0.35">
      <c r="A15" t="s">
        <v>29</v>
      </c>
      <c r="B15">
        <v>1.3</v>
      </c>
    </row>
    <row r="16" spans="1:2" x14ac:dyDescent="0.35">
      <c r="A16" s="1" t="s">
        <v>30</v>
      </c>
      <c r="B16" s="1">
        <f>B15*B14</f>
        <v>1.3</v>
      </c>
    </row>
    <row r="17" spans="1:2" x14ac:dyDescent="0.35">
      <c r="A17" t="s">
        <v>31</v>
      </c>
      <c r="B17">
        <v>15.21</v>
      </c>
    </row>
    <row r="18" spans="1:2" x14ac:dyDescent="0.35">
      <c r="A18" s="1" t="s">
        <v>19</v>
      </c>
      <c r="B18" s="1">
        <f>B17*B14</f>
        <v>15.21</v>
      </c>
    </row>
    <row r="21" spans="1:2" x14ac:dyDescent="0.35">
      <c r="A21" s="1" t="s">
        <v>32</v>
      </c>
    </row>
    <row r="22" spans="1:2" x14ac:dyDescent="0.35">
      <c r="A22" t="s">
        <v>20</v>
      </c>
      <c r="B22">
        <f>'hora pico'!$B$84</f>
        <v>6</v>
      </c>
    </row>
    <row r="23" spans="1:2" x14ac:dyDescent="0.35">
      <c r="A23" t="s">
        <v>33</v>
      </c>
      <c r="B23">
        <v>180</v>
      </c>
    </row>
    <row r="24" spans="1:2" x14ac:dyDescent="0.35">
      <c r="A24" s="1" t="s">
        <v>34</v>
      </c>
      <c r="B24" s="1">
        <f>CEILING(B22/B23,1)</f>
        <v>1</v>
      </c>
    </row>
    <row r="25" spans="1:2" x14ac:dyDescent="0.35">
      <c r="A25" t="s">
        <v>31</v>
      </c>
      <c r="B25">
        <v>13.5</v>
      </c>
    </row>
    <row r="26" spans="1:2" x14ac:dyDescent="0.35">
      <c r="A26" s="1" t="s">
        <v>19</v>
      </c>
      <c r="B26" s="1">
        <f>B24*B25</f>
        <v>13.5</v>
      </c>
    </row>
    <row r="29" spans="1:2" x14ac:dyDescent="0.35">
      <c r="A29" s="1" t="s">
        <v>35</v>
      </c>
    </row>
    <row r="30" spans="1:2" x14ac:dyDescent="0.35">
      <c r="A30" t="s">
        <v>20</v>
      </c>
      <c r="B30">
        <f>'hora pico'!$B$84</f>
        <v>6</v>
      </c>
    </row>
    <row r="31" spans="1:2" x14ac:dyDescent="0.35">
      <c r="A31" t="s">
        <v>21</v>
      </c>
      <c r="B31">
        <v>0.5</v>
      </c>
    </row>
    <row r="32" spans="1:2" x14ac:dyDescent="0.35">
      <c r="A32" t="s">
        <v>22</v>
      </c>
      <c r="B32">
        <v>0.1</v>
      </c>
    </row>
    <row r="33" spans="1:2" x14ac:dyDescent="0.35">
      <c r="A33" t="s">
        <v>23</v>
      </c>
      <c r="B33">
        <v>1.8</v>
      </c>
    </row>
    <row r="34" spans="1:2" x14ac:dyDescent="0.35">
      <c r="A34" s="1" t="s">
        <v>19</v>
      </c>
      <c r="B34" s="1">
        <f>B30*(1+B31+B32)*B33</f>
        <v>17.280000000000005</v>
      </c>
    </row>
    <row r="35" spans="1:2" x14ac:dyDescent="0.35">
      <c r="A35" t="s">
        <v>24</v>
      </c>
      <c r="B35" s="7">
        <v>0.15</v>
      </c>
    </row>
    <row r="36" spans="1:2" x14ac:dyDescent="0.35">
      <c r="A36" s="1" t="s">
        <v>25</v>
      </c>
      <c r="B36" s="1">
        <f>B30*(1+B31+B32)*B35</f>
        <v>1.4400000000000002</v>
      </c>
    </row>
    <row r="39" spans="1:2" x14ac:dyDescent="0.35">
      <c r="A39" s="1" t="s">
        <v>36</v>
      </c>
    </row>
    <row r="40" spans="1:2" x14ac:dyDescent="0.35">
      <c r="A40" t="s">
        <v>37</v>
      </c>
      <c r="B40">
        <v>15</v>
      </c>
    </row>
    <row r="41" spans="1:2" x14ac:dyDescent="0.35">
      <c r="A41" t="s">
        <v>38</v>
      </c>
      <c r="B41">
        <f>2*B2*(1+B3+B4)</f>
        <v>19.200000000000003</v>
      </c>
    </row>
    <row r="42" spans="1:2" x14ac:dyDescent="0.35">
      <c r="A42" t="s">
        <v>39</v>
      </c>
      <c r="B42" s="7">
        <v>0.6</v>
      </c>
    </row>
    <row r="43" spans="1:2" x14ac:dyDescent="0.35">
      <c r="A43" t="s">
        <v>44</v>
      </c>
      <c r="B43">
        <v>2</v>
      </c>
    </row>
    <row r="44" spans="1:2" x14ac:dyDescent="0.35">
      <c r="A44" t="s">
        <v>41</v>
      </c>
      <c r="B44">
        <v>6</v>
      </c>
    </row>
    <row r="45" spans="1:2" x14ac:dyDescent="0.35">
      <c r="A45" t="s">
        <v>40</v>
      </c>
      <c r="B45">
        <v>3</v>
      </c>
    </row>
    <row r="46" spans="1:2" x14ac:dyDescent="0.35">
      <c r="A46" t="s">
        <v>42</v>
      </c>
      <c r="B46" s="7">
        <v>0.3</v>
      </c>
    </row>
    <row r="47" spans="1:2" x14ac:dyDescent="0.35">
      <c r="A47" t="s">
        <v>43</v>
      </c>
      <c r="B47" s="7">
        <v>0.3</v>
      </c>
    </row>
    <row r="48" spans="1:2" x14ac:dyDescent="0.35">
      <c r="A48" t="s">
        <v>45</v>
      </c>
      <c r="B48">
        <v>1</v>
      </c>
    </row>
    <row r="49" spans="1:2" x14ac:dyDescent="0.35">
      <c r="A49" t="s">
        <v>46</v>
      </c>
      <c r="B49">
        <v>6</v>
      </c>
    </row>
    <row r="50" spans="1:2" x14ac:dyDescent="0.35">
      <c r="A50" t="s">
        <v>50</v>
      </c>
      <c r="B50">
        <v>2</v>
      </c>
    </row>
    <row r="51" spans="1:2" x14ac:dyDescent="0.35">
      <c r="A51" t="s">
        <v>47</v>
      </c>
      <c r="B51" s="7">
        <v>0.1</v>
      </c>
    </row>
    <row r="52" spans="1:2" x14ac:dyDescent="0.35">
      <c r="A52" t="s">
        <v>48</v>
      </c>
      <c r="B52" s="8">
        <v>4</v>
      </c>
    </row>
    <row r="53" spans="1:2" x14ac:dyDescent="0.35">
      <c r="A53" s="1" t="s">
        <v>49</v>
      </c>
      <c r="B53" s="9">
        <f>B40+B41/60*((B42*B43*B44/B45)*(1-B46)+(B47*B48*B49/B50)+(B51*B52*B40))</f>
        <v>17.7456</v>
      </c>
    </row>
    <row r="56" spans="1:2" x14ac:dyDescent="0.35">
      <c r="A56" s="1" t="s">
        <v>51</v>
      </c>
    </row>
    <row r="57" spans="1:2" x14ac:dyDescent="0.35">
      <c r="A57" t="s">
        <v>52</v>
      </c>
      <c r="B57">
        <v>0.6</v>
      </c>
    </row>
    <row r="58" spans="1:2" x14ac:dyDescent="0.35">
      <c r="A58" t="s">
        <v>39</v>
      </c>
      <c r="B58" s="7">
        <f>B42</f>
        <v>0.6</v>
      </c>
    </row>
    <row r="59" spans="1:2" x14ac:dyDescent="0.35">
      <c r="A59" t="s">
        <v>38</v>
      </c>
      <c r="B59">
        <f>B41</f>
        <v>19.200000000000003</v>
      </c>
    </row>
    <row r="60" spans="1:2" x14ac:dyDescent="0.35">
      <c r="A60" s="1" t="s">
        <v>53</v>
      </c>
      <c r="B60" s="6">
        <f>B57*B58*B59</f>
        <v>6.9120000000000008</v>
      </c>
    </row>
    <row r="63" spans="1:2" x14ac:dyDescent="0.35">
      <c r="A63" s="1" t="s">
        <v>54</v>
      </c>
    </row>
    <row r="64" spans="1:2" x14ac:dyDescent="0.35">
      <c r="A64" t="s">
        <v>55</v>
      </c>
      <c r="B64">
        <v>1.5</v>
      </c>
    </row>
    <row r="65" spans="1:2" x14ac:dyDescent="0.35">
      <c r="A65" t="s">
        <v>56</v>
      </c>
      <c r="B65">
        <f>B2</f>
        <v>6</v>
      </c>
    </row>
    <row r="66" spans="1:2" x14ac:dyDescent="0.35">
      <c r="A66" s="1" t="s">
        <v>57</v>
      </c>
      <c r="B66" s="1">
        <f>B65*B64</f>
        <v>9</v>
      </c>
    </row>
    <row r="67" spans="1:2" x14ac:dyDescent="0.35">
      <c r="A67" t="s">
        <v>58</v>
      </c>
      <c r="B67">
        <v>4.5</v>
      </c>
    </row>
    <row r="68" spans="1:2" x14ac:dyDescent="0.35">
      <c r="A68" t="s">
        <v>59</v>
      </c>
      <c r="B68">
        <v>9</v>
      </c>
    </row>
    <row r="69" spans="1:2" x14ac:dyDescent="0.35">
      <c r="A69" t="s">
        <v>60</v>
      </c>
      <c r="B69">
        <v>2</v>
      </c>
    </row>
    <row r="70" spans="1:2" x14ac:dyDescent="0.35">
      <c r="A70" t="s">
        <v>61</v>
      </c>
      <c r="B70">
        <v>1</v>
      </c>
    </row>
    <row r="71" spans="1:2" x14ac:dyDescent="0.35">
      <c r="A71" s="1" t="s">
        <v>62</v>
      </c>
      <c r="B71" s="1">
        <f>B67*B69+B68*B70</f>
        <v>18</v>
      </c>
    </row>
    <row r="72" spans="1:2" x14ac:dyDescent="0.35">
      <c r="A72" t="s">
        <v>63</v>
      </c>
      <c r="B72">
        <f>B41</f>
        <v>19.200000000000003</v>
      </c>
    </row>
    <row r="73" spans="1:2" x14ac:dyDescent="0.35">
      <c r="A73" t="s">
        <v>64</v>
      </c>
      <c r="B73" s="7">
        <v>0.3</v>
      </c>
    </row>
    <row r="74" spans="1:2" x14ac:dyDescent="0.35">
      <c r="A74" t="s">
        <v>68</v>
      </c>
      <c r="B74">
        <v>3.5</v>
      </c>
    </row>
    <row r="75" spans="1:2" x14ac:dyDescent="0.35">
      <c r="A75" t="s">
        <v>67</v>
      </c>
      <c r="B75">
        <f>15*(B72*B73/6)</f>
        <v>14.4</v>
      </c>
    </row>
    <row r="76" spans="1:2" x14ac:dyDescent="0.35">
      <c r="A76" t="s">
        <v>69</v>
      </c>
      <c r="B76">
        <f>B72*B73*5</f>
        <v>28.800000000000004</v>
      </c>
    </row>
    <row r="77" spans="1:2" x14ac:dyDescent="0.35">
      <c r="A77" t="s">
        <v>70</v>
      </c>
      <c r="B77">
        <f>B72*B73*5</f>
        <v>28.800000000000004</v>
      </c>
    </row>
    <row r="78" spans="1:2" x14ac:dyDescent="0.35">
      <c r="A78" s="1" t="s">
        <v>66</v>
      </c>
      <c r="B78" s="1">
        <f>B77+B76+B75+(B72*B73*B74)</f>
        <v>92.160000000000025</v>
      </c>
    </row>
    <row r="79" spans="1:2" x14ac:dyDescent="0.35">
      <c r="A79" t="s">
        <v>63</v>
      </c>
      <c r="B79">
        <f>B41</f>
        <v>19.200000000000003</v>
      </c>
    </row>
    <row r="80" spans="1:2" x14ac:dyDescent="0.35">
      <c r="A80" t="s">
        <v>71</v>
      </c>
      <c r="B80">
        <f>(0.025*B79+2.5)/2</f>
        <v>1.49</v>
      </c>
    </row>
    <row r="81" spans="1:2" x14ac:dyDescent="0.35">
      <c r="A81" t="s">
        <v>72</v>
      </c>
      <c r="B81">
        <f>(0.025*B79+2.5)/2</f>
        <v>1.49</v>
      </c>
    </row>
    <row r="82" spans="1:2" x14ac:dyDescent="0.35">
      <c r="A82" s="1" t="s">
        <v>73</v>
      </c>
      <c r="B82" s="1">
        <f>CEILING(B80,1)*(1.4+2+1.1+2.38)</f>
        <v>13.76</v>
      </c>
    </row>
    <row r="83" spans="1:2" x14ac:dyDescent="0.35">
      <c r="A83" s="1" t="s">
        <v>74</v>
      </c>
      <c r="B83" s="1">
        <f>CEILING(B81,1)*(1.4+2+1.85)</f>
        <v>10.5</v>
      </c>
    </row>
    <row r="86" spans="1:2" x14ac:dyDescent="0.35">
      <c r="A86" s="1" t="s">
        <v>75</v>
      </c>
    </row>
    <row r="87" spans="1:2" x14ac:dyDescent="0.35">
      <c r="A87" s="10" t="s">
        <v>76</v>
      </c>
      <c r="B87">
        <f>2*B2</f>
        <v>12</v>
      </c>
    </row>
    <row r="88" spans="1:2" x14ac:dyDescent="0.35">
      <c r="A88" s="10" t="s">
        <v>65</v>
      </c>
      <c r="B88">
        <v>18</v>
      </c>
    </row>
    <row r="89" spans="1:2" x14ac:dyDescent="0.35">
      <c r="A89" s="1" t="s">
        <v>77</v>
      </c>
      <c r="B89" s="1">
        <f>B87*B88</f>
        <v>216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hora pico</vt:lpstr>
      <vt:lpstr>áreas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Almeida</dc:creator>
  <cp:lastModifiedBy>Rafael Almeida</cp:lastModifiedBy>
  <dcterms:created xsi:type="dcterms:W3CDTF">2026-06-16T20:36:39Z</dcterms:created>
  <dcterms:modified xsi:type="dcterms:W3CDTF">2026-06-23T14:31:00Z</dcterms:modified>
</cp:coreProperties>
</file>